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"/>
    </mc:Choice>
  </mc:AlternateContent>
  <xr:revisionPtr revIDLastSave="0" documentId="13_ncr:1_{DF2D860C-2A1A-7645-8C0A-E6A795082B3F}" xr6:coauthVersionLast="47" xr6:coauthVersionMax="47" xr10:uidLastSave="{00000000-0000-0000-0000-000000000000}"/>
  <bookViews>
    <workbookView xWindow="0" yWindow="740" windowWidth="30240" windowHeight="17760" activeTab="1" xr2:uid="{00000000-000D-0000-FFFF-FFFF00000000}"/>
  </bookViews>
  <sheets>
    <sheet name="1_Annahmen" sheetId="1" r:id="rId1"/>
    <sheet name="2_Pricing" sheetId="2" r:id="rId2"/>
    <sheet name="3_Investment" sheetId="3" r:id="rId3"/>
    <sheet name="4_Kosten" sheetId="4" r:id="rId4"/>
    <sheet name="5_Umsatz_Prognose" sheetId="5" r:id="rId5"/>
    <sheet name="6_GuV_Breakeven" sheetId="6" r:id="rId6"/>
    <sheet name="7_Verlauf_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B15" i="6"/>
  <c r="C15" i="6" s="1"/>
  <c r="F32" i="5"/>
  <c r="E32" i="5"/>
  <c r="D32" i="5"/>
  <c r="C32" i="5"/>
  <c r="B32" i="5"/>
  <c r="F30" i="5"/>
  <c r="E30" i="5"/>
  <c r="D30" i="5"/>
  <c r="C30" i="5"/>
  <c r="B30" i="5"/>
  <c r="F26" i="5"/>
  <c r="E26" i="5"/>
  <c r="D26" i="5"/>
  <c r="C26" i="5"/>
  <c r="B26" i="5"/>
  <c r="F15" i="5"/>
  <c r="F19" i="5" s="1"/>
  <c r="E15" i="5"/>
  <c r="E19" i="5" s="1"/>
  <c r="D15" i="5"/>
  <c r="D19" i="5" s="1"/>
  <c r="C15" i="5"/>
  <c r="C19" i="5" s="1"/>
  <c r="B15" i="5"/>
  <c r="B19" i="5" s="1"/>
  <c r="F7" i="5"/>
  <c r="F9" i="5" s="1"/>
  <c r="E7" i="5"/>
  <c r="E9" i="5" s="1"/>
  <c r="D7" i="5"/>
  <c r="D9" i="5" s="1"/>
  <c r="C7" i="5"/>
  <c r="C9" i="5" s="1"/>
  <c r="B7" i="5"/>
  <c r="B9" i="5" s="1"/>
  <c r="F6" i="5"/>
  <c r="F8" i="5" s="1"/>
  <c r="F10" i="5" s="1"/>
  <c r="E6" i="5"/>
  <c r="E8" i="5" s="1"/>
  <c r="D6" i="5"/>
  <c r="D8" i="5" s="1"/>
  <c r="D10" i="5" s="1"/>
  <c r="C6" i="5"/>
  <c r="C8" i="5" s="1"/>
  <c r="C10" i="5" s="1"/>
  <c r="B6" i="5"/>
  <c r="B8" i="5" s="1"/>
  <c r="F23" i="4"/>
  <c r="E23" i="4"/>
  <c r="D23" i="4"/>
  <c r="C23" i="4"/>
  <c r="B23" i="4"/>
  <c r="F21" i="4"/>
  <c r="E21" i="4"/>
  <c r="D21" i="4"/>
  <c r="C21" i="4"/>
  <c r="B21" i="4"/>
  <c r="F17" i="4"/>
  <c r="E17" i="4"/>
  <c r="D17" i="4"/>
  <c r="C17" i="4"/>
  <c r="B17" i="4"/>
  <c r="F14" i="4"/>
  <c r="F5" i="7" s="1"/>
  <c r="E14" i="4"/>
  <c r="E5" i="7" s="1"/>
  <c r="D14" i="4"/>
  <c r="D5" i="7" s="1"/>
  <c r="C14" i="4"/>
  <c r="C5" i="7" s="1"/>
  <c r="B14" i="4"/>
  <c r="B5" i="7" s="1"/>
  <c r="C22" i="3"/>
  <c r="B15" i="3"/>
  <c r="C15" i="3" s="1"/>
  <c r="D15" i="3" s="1"/>
  <c r="E15" i="3" s="1"/>
  <c r="F15" i="3" s="1"/>
  <c r="F14" i="3"/>
  <c r="E14" i="3"/>
  <c r="D14" i="3"/>
  <c r="C14" i="3"/>
  <c r="B14" i="3"/>
  <c r="B25" i="2"/>
  <c r="D14" i="2"/>
  <c r="D13" i="2"/>
  <c r="D12" i="2"/>
  <c r="D11" i="2"/>
  <c r="D7" i="2"/>
  <c r="D6" i="2"/>
  <c r="B24" i="2" s="1"/>
  <c r="D5" i="2"/>
  <c r="C21" i="5" l="1"/>
  <c r="C27" i="5"/>
  <c r="C18" i="4" s="1"/>
  <c r="C20" i="5"/>
  <c r="C18" i="5"/>
  <c r="D21" i="5"/>
  <c r="D31" i="5"/>
  <c r="D22" i="4" s="1"/>
  <c r="D27" i="5"/>
  <c r="D18" i="4" s="1"/>
  <c r="D20" i="5"/>
  <c r="D18" i="5"/>
  <c r="F21" i="5"/>
  <c r="F27" i="5"/>
  <c r="F18" i="4" s="1"/>
  <c r="F20" i="5"/>
  <c r="F18" i="5"/>
  <c r="E10" i="5"/>
  <c r="B10" i="5"/>
  <c r="D15" i="6"/>
  <c r="B8" i="6"/>
  <c r="C8" i="6"/>
  <c r="D8" i="6"/>
  <c r="E8" i="6"/>
  <c r="F8" i="6"/>
  <c r="E21" i="5" l="1"/>
  <c r="E31" i="5"/>
  <c r="E22" i="4" s="1"/>
  <c r="E27" i="5"/>
  <c r="E20" i="5"/>
  <c r="E18" i="5"/>
  <c r="C28" i="5"/>
  <c r="C23" i="5"/>
  <c r="D28" i="5"/>
  <c r="D23" i="5"/>
  <c r="F28" i="5"/>
  <c r="F19" i="4" s="1"/>
  <c r="F23" i="5"/>
  <c r="E15" i="6"/>
  <c r="B31" i="5"/>
  <c r="B22" i="4" s="1"/>
  <c r="B20" i="5"/>
  <c r="B21" i="5"/>
  <c r="B27" i="5"/>
  <c r="B18" i="5"/>
  <c r="C31" i="5"/>
  <c r="C22" i="4" s="1"/>
  <c r="F31" i="5"/>
  <c r="F22" i="4" s="1"/>
  <c r="E28" i="5" l="1"/>
  <c r="E19" i="4" s="1"/>
  <c r="E23" i="5"/>
  <c r="F4" i="6"/>
  <c r="F29" i="5"/>
  <c r="F20" i="4" s="1"/>
  <c r="F24" i="4" s="1"/>
  <c r="F26" i="4" s="1"/>
  <c r="F7" i="7" s="1"/>
  <c r="F33" i="5"/>
  <c r="D19" i="4"/>
  <c r="D24" i="4" s="1"/>
  <c r="D26" i="4" s="1"/>
  <c r="D7" i="7" s="1"/>
  <c r="D33" i="5"/>
  <c r="C4" i="6"/>
  <c r="C29" i="5"/>
  <c r="C20" i="4" s="1"/>
  <c r="C19" i="4"/>
  <c r="F15" i="6"/>
  <c r="E18" i="4"/>
  <c r="B28" i="5"/>
  <c r="B19" i="4" s="1"/>
  <c r="B23" i="5"/>
  <c r="B18" i="4"/>
  <c r="D4" i="6"/>
  <c r="D29" i="5"/>
  <c r="D20" i="4" s="1"/>
  <c r="C24" i="4" l="1"/>
  <c r="C26" i="4" s="1"/>
  <c r="C7" i="7" s="1"/>
  <c r="D6" i="6"/>
  <c r="D4" i="7"/>
  <c r="D20" i="6"/>
  <c r="C4" i="7"/>
  <c r="C20" i="6"/>
  <c r="D6" i="7"/>
  <c r="D5" i="6"/>
  <c r="F6" i="6"/>
  <c r="F4" i="7"/>
  <c r="F20" i="6"/>
  <c r="E4" i="6"/>
  <c r="E29" i="5"/>
  <c r="B4" i="6"/>
  <c r="B29" i="5"/>
  <c r="F6" i="7"/>
  <c r="F5" i="6"/>
  <c r="C33" i="5"/>
  <c r="B4" i="7" l="1"/>
  <c r="B20" i="6"/>
  <c r="E20" i="4"/>
  <c r="E24" i="4" s="1"/>
  <c r="E26" i="4" s="1"/>
  <c r="E7" i="7" s="1"/>
  <c r="E33" i="5"/>
  <c r="E4" i="7"/>
  <c r="E20" i="6"/>
  <c r="C6" i="7"/>
  <c r="C5" i="6"/>
  <c r="C6" i="6" s="1"/>
  <c r="F9" i="6"/>
  <c r="F7" i="6"/>
  <c r="F19" i="6"/>
  <c r="D9" i="6"/>
  <c r="D7" i="6"/>
  <c r="D19" i="6"/>
  <c r="B20" i="4"/>
  <c r="B24" i="4" s="1"/>
  <c r="B26" i="4" s="1"/>
  <c r="B7" i="7" s="1"/>
  <c r="B33" i="5"/>
  <c r="B5" i="6" l="1"/>
  <c r="B6" i="6" s="1"/>
  <c r="B6" i="7"/>
  <c r="D11" i="7"/>
  <c r="D21" i="6"/>
  <c r="F10" i="6"/>
  <c r="F8" i="7"/>
  <c r="D10" i="6"/>
  <c r="D8" i="7"/>
  <c r="E6" i="7"/>
  <c r="E5" i="6"/>
  <c r="E6" i="6" s="1"/>
  <c r="F11" i="7"/>
  <c r="F21" i="6"/>
  <c r="C9" i="6"/>
  <c r="C7" i="6"/>
  <c r="C19" i="6"/>
  <c r="E9" i="6" l="1"/>
  <c r="E7" i="6"/>
  <c r="E19" i="6"/>
  <c r="C11" i="7"/>
  <c r="C21" i="6"/>
  <c r="C10" i="6"/>
  <c r="C8" i="7"/>
  <c r="B9" i="6"/>
  <c r="B7" i="6"/>
  <c r="B19" i="6"/>
  <c r="B11" i="7" l="1"/>
  <c r="B21" i="6"/>
  <c r="B23" i="6"/>
  <c r="B13" i="6"/>
  <c r="B10" i="6"/>
  <c r="B8" i="7"/>
  <c r="E11" i="7"/>
  <c r="E21" i="6"/>
  <c r="E10" i="6"/>
  <c r="E8" i="7"/>
  <c r="B9" i="7" l="1"/>
  <c r="B16" i="6"/>
  <c r="B10" i="7" s="1"/>
  <c r="C13" i="6"/>
  <c r="C9" i="7" l="1"/>
  <c r="D13" i="6"/>
  <c r="C16" i="6"/>
  <c r="C10" i="7" s="1"/>
  <c r="D9" i="7" l="1"/>
  <c r="E13" i="6"/>
  <c r="D16" i="6"/>
  <c r="D10" i="7" s="1"/>
  <c r="E9" i="7" l="1"/>
  <c r="F13" i="6"/>
  <c r="E16" i="6"/>
  <c r="E10" i="7" s="1"/>
  <c r="F9" i="7" l="1"/>
  <c r="F16" i="6"/>
  <c r="F10" i="7" s="1"/>
</calcChain>
</file>

<file path=xl/sharedStrings.xml><?xml version="1.0" encoding="utf-8"?>
<sst xmlns="http://schemas.openxmlformats.org/spreadsheetml/2006/main" count="215" uniqueCount="186">
  <si>
    <t>SKIPILY – Marktannahmen &amp; Modellparameter (gelbe Zellen = Inputs)</t>
  </si>
  <si>
    <t>Markt</t>
  </si>
  <si>
    <t>Adressierbare Bootseigner DACH</t>
  </si>
  <si>
    <t>BVWW / ADAC</t>
  </si>
  <si>
    <t>Adressierbare Bootseigner EU+UK</t>
  </si>
  <si>
    <t>ICOMIA 2023</t>
  </si>
  <si>
    <t>Service-Provider DACH</t>
  </si>
  <si>
    <t>Marinas, Werften, Sailmaker, Rigger, Chandlery</t>
  </si>
  <si>
    <t>Service-Provider EU</t>
  </si>
  <si>
    <t>ICOMIA</t>
  </si>
  <si>
    <t>Marktdurchdringung Ziel Jahr 5 (Privat)</t>
  </si>
  <si>
    <t>1.2% – ambitioniert</t>
  </si>
  <si>
    <t>User-Konversion</t>
  </si>
  <si>
    <t>Free → Plus Konversionsrate</t>
  </si>
  <si>
    <t>Strava 4-6%, Komoot 3-5%</t>
  </si>
  <si>
    <t>Free → Pro Konversionsrate</t>
  </si>
  <si>
    <t>Power-User</t>
  </si>
  <si>
    <t>Monatliche Churn Privat</t>
  </si>
  <si>
    <t>saisonbedingt</t>
  </si>
  <si>
    <t>Monatliche Churn Provider</t>
  </si>
  <si>
    <t>B2B SaaS Benchmark</t>
  </si>
  <si>
    <t>Akquisitionskosten (CAC)</t>
  </si>
  <si>
    <t>CAC Privat-User (Free)</t>
  </si>
  <si>
    <t>Performance Marketing</t>
  </si>
  <si>
    <t>CAC Privat-User (Paid Conversion)</t>
  </si>
  <si>
    <t>Blended</t>
  </si>
  <si>
    <t>CAC Service-Provider</t>
  </si>
  <si>
    <t>Outbound Sales + Field</t>
  </si>
  <si>
    <t>Variable Pro-User-Kosten / Monat</t>
  </si>
  <si>
    <t>Cloud/Storage pro aktivem User (€/Monat)</t>
  </si>
  <si>
    <t>Supabase + S3 + Maps</t>
  </si>
  <si>
    <t>Support-Kosten pro zahlendem User (€/Monat)</t>
  </si>
  <si>
    <t>Tickets + Tooling</t>
  </si>
  <si>
    <t>App Store Gebühr Jahr 1</t>
  </si>
  <si>
    <t>Apple/Google Standard</t>
  </si>
  <si>
    <t>App Store Gebühr ab Jahr 2</t>
  </si>
  <si>
    <t>Apple Small Business</t>
  </si>
  <si>
    <t>Payment-Provider-Gebühr (%)</t>
  </si>
  <si>
    <t>Stripe</t>
  </si>
  <si>
    <t>Shop-Provision auf vermittelte Käufe</t>
  </si>
  <si>
    <t>10%</t>
  </si>
  <si>
    <t>Buchungs-Provision auf Marina/Service</t>
  </si>
  <si>
    <t>5%</t>
  </si>
  <si>
    <t>HINWEIS: Alle gelben Zellen sind Annahmen – einfach ändern, das gesamte Modell rechnet automatisch nach.</t>
  </si>
  <si>
    <t>PRICING-STRATEGIE: Privat-User &amp; Service-Provider</t>
  </si>
  <si>
    <t>Privat-User (B2C, Freemium)</t>
  </si>
  <si>
    <t>Tier</t>
  </si>
  <si>
    <t>Preis/Monat</t>
  </si>
  <si>
    <t>Preis/Jahr</t>
  </si>
  <si>
    <t>Ø Blended €/Mon</t>
  </si>
  <si>
    <t>Zielgruppe</t>
  </si>
  <si>
    <t>Free</t>
  </si>
  <si>
    <t>Einsteiger / Lead-Gen</t>
  </si>
  <si>
    <t>Skipily Plus</t>
  </si>
  <si>
    <t>Hobby-Skipper, 1-2 Boote</t>
  </si>
  <si>
    <t>Skipily Pro</t>
  </si>
  <si>
    <t>Eigner-Profis, Mehrboot, Charterer</t>
  </si>
  <si>
    <t>Service-Provider (B2B SaaS + Provisionen)</t>
  </si>
  <si>
    <t>Inhalte</t>
  </si>
  <si>
    <t>Basic Listing</t>
  </si>
  <si>
    <t>Verifiziertes Profil, Map-Pin (Lead-Gen)</t>
  </si>
  <si>
    <t>Provider Starter</t>
  </si>
  <si>
    <t>Foto-Galerie, 5 Promos/Mon, Reviews</t>
  </si>
  <si>
    <t>Provider Pro</t>
  </si>
  <si>
    <t>Unlimited Promos, Shop, Analytics, Top-Placement</t>
  </si>
  <si>
    <t>Provider Enterprise</t>
  </si>
  <si>
    <t>Multi-Location, API, White-Label-Widget</t>
  </si>
  <si>
    <t>Mix-Annahmen (für Umsatzprognose – änderbar)</t>
  </si>
  <si>
    <t>Anteil zahlende Privat → Plus</t>
  </si>
  <si>
    <t>Anteil zahlende Privat → Pro</t>
  </si>
  <si>
    <t>Anteil Provider → Starter</t>
  </si>
  <si>
    <t>Anteil Provider → Pro</t>
  </si>
  <si>
    <t>Anteil Provider → Enterprise</t>
  </si>
  <si>
    <t>ARPU/Monat zahlender Privat-User</t>
  </si>
  <si>
    <t>ARPU/Monat zahlender Provider</t>
  </si>
  <si>
    <t>INVESTMENT-PLAN (Kapitalbedarf Seed → Series A)</t>
  </si>
  <si>
    <t>Position / Phase</t>
  </si>
  <si>
    <t>Jahr 1</t>
  </si>
  <si>
    <t>Jahr 2</t>
  </si>
  <si>
    <t>Jahr 3</t>
  </si>
  <si>
    <t>Jahr 4</t>
  </si>
  <si>
    <t>Jahr 5</t>
  </si>
  <si>
    <t>Phase</t>
  </si>
  <si>
    <t>MVP &amp; Launch</t>
  </si>
  <si>
    <t>Scale DACH</t>
  </si>
  <si>
    <t>EU-Rollout</t>
  </si>
  <si>
    <t>Konsolidierung</t>
  </si>
  <si>
    <t>Profit</t>
  </si>
  <si>
    <t>Produktentwicklung (iOS, Backend, Web)</t>
  </si>
  <si>
    <t>Design &amp; UX</t>
  </si>
  <si>
    <t>Cloud, Tools, Lizenzen, Software</t>
  </si>
  <si>
    <t>Marketing &amp; User-Akquise</t>
  </si>
  <si>
    <t>Sales (Outbound Provider-Akquise)</t>
  </si>
  <si>
    <t>Operations / Support</t>
  </si>
  <si>
    <t>Legal, IP, Compliance, GDPR</t>
  </si>
  <si>
    <t>Office, Reise, Sonstiges</t>
  </si>
  <si>
    <t>Buffer / Contingency 10%</t>
  </si>
  <si>
    <t>Investment p.a. (€)</t>
  </si>
  <si>
    <t>Kumuliert (€)</t>
  </si>
  <si>
    <t>FINANZIERUNGS-ROUNDS (typisch)</t>
  </si>
  <si>
    <t>Round</t>
  </si>
  <si>
    <t>Zeitpunkt</t>
  </si>
  <si>
    <t>Volumen (€)</t>
  </si>
  <si>
    <t>Pre-Seed (Bootstrap + Angels)</t>
  </si>
  <si>
    <t>Q1 Jahr 1</t>
  </si>
  <si>
    <t>Seed Round</t>
  </si>
  <si>
    <t>Q4 Jahr 1</t>
  </si>
  <si>
    <t>Series A</t>
  </si>
  <si>
    <t>Q2 Jahr 3</t>
  </si>
  <si>
    <t>Summe Funding</t>
  </si>
  <si>
    <t>FIXE &amp; VARIABLE BETRIEBSKOSTEN (Jahr 1 – 5)</t>
  </si>
  <si>
    <t>Position</t>
  </si>
  <si>
    <t>FIX-KOSTEN (€/Jahr)</t>
  </si>
  <si>
    <t>Personal Engineering (FTE)</t>
  </si>
  <si>
    <t>Personal Sales/Marketing (FTE)</t>
  </si>
  <si>
    <t>Personal Operations/Support (FTE)</t>
  </si>
  <si>
    <t>Geschäftsführung</t>
  </si>
  <si>
    <t>Büro, Co-Working</t>
  </si>
  <si>
    <t>Legal, Buchhaltung, Steuerberatung</t>
  </si>
  <si>
    <t>Versicherungen (D&amp;O, Cyber)</t>
  </si>
  <si>
    <t>Marketing-Fixum (SEO, Content, PR)</t>
  </si>
  <si>
    <t>Σ Fix-Kosten</t>
  </si>
  <si>
    <t>VARIABLE KOSTEN (€/Jahr) – verlinkt aus Umsatzprognose</t>
  </si>
  <si>
    <t>Cloud / Hosting / Storage</t>
  </si>
  <si>
    <t>Customer Support</t>
  </si>
  <si>
    <t>App-Store-Gebühren (Apple/Google)</t>
  </si>
  <si>
    <t>Payment-Provider-Gebühren</t>
  </si>
  <si>
    <t>Performance-Marketing CAC Free</t>
  </si>
  <si>
    <t>Aufschlag CAC Paid Conversion</t>
  </si>
  <si>
    <t>Sales-CAC Provider</t>
  </si>
  <si>
    <t>Σ Variable Kosten</t>
  </si>
  <si>
    <t>GESAMT-KOSTEN (Fix + Variabel)</t>
  </si>
  <si>
    <t>UMSATZPROGNOSE 5 JAHRE</t>
  </si>
  <si>
    <t>Kennzahl</t>
  </si>
  <si>
    <t>USER-FUNNEL Privat</t>
  </si>
  <si>
    <t>Free MAU (Jahresende)</t>
  </si>
  <si>
    <t>Konversion → Plus</t>
  </si>
  <si>
    <t>Konversion → Pro</t>
  </si>
  <si>
    <t>Zahlende User Plus</t>
  </si>
  <si>
    <t>Zahlende User Pro</t>
  </si>
  <si>
    <t>Σ Zahlende Privat-User</t>
  </si>
  <si>
    <t>PROVIDER-FUNNEL</t>
  </si>
  <si>
    <t>Aktive Provider (gesamt, EOY)</t>
  </si>
  <si>
    <t>Anteil zahlend (Starter+Pro+Ent)</t>
  </si>
  <si>
    <t>Σ Zahlende Provider</t>
  </si>
  <si>
    <t>UMSATZ-STRÖME (€/Jahr)</t>
  </si>
  <si>
    <t>Abo-Umsatz Privat</t>
  </si>
  <si>
    <t>Abo-Umsatz Provider</t>
  </si>
  <si>
    <t>Shop-Provisionen (10%)</t>
  </si>
  <si>
    <t>Buchungs-Provisionen (5%)</t>
  </si>
  <si>
    <t>Sponsored Placements / Ads</t>
  </si>
  <si>
    <t>GESAMTUMSATZ</t>
  </si>
  <si>
    <t>VARIABLE KOSTEN-DETAIL (€/Jahr)</t>
  </si>
  <si>
    <t>Cloud-Kosten</t>
  </si>
  <si>
    <t>Support-Kosten</t>
  </si>
  <si>
    <t>App-Store-Gebühren</t>
  </si>
  <si>
    <t>Payment-Gebühren</t>
  </si>
  <si>
    <t>CAC Privat (Performance-Marketing, neue Free-User × CAC Free)</t>
  </si>
  <si>
    <t>CAC-Aufschlag Paid Conversion (zahlende User × Paid-CAC Aufschlag)</t>
  </si>
  <si>
    <t>CAC Provider (Sales)</t>
  </si>
  <si>
    <t>GEWINN- &amp; VERLUSTRECHNUNG + BREAKEVEN-ANALYSE</t>
  </si>
  <si>
    <t>Umsatz</t>
  </si>
  <si>
    <t>(-) Variable Kosten</t>
  </si>
  <si>
    <t>Deckungsbeitrag</t>
  </si>
  <si>
    <t>DB-Marge</t>
  </si>
  <si>
    <t>(-) Fixkosten</t>
  </si>
  <si>
    <t>EBITDA</t>
  </si>
  <si>
    <t>EBITDA-Marge</t>
  </si>
  <si>
    <t>KAPITALFLUSS &amp; BREAKEVEN</t>
  </si>
  <si>
    <t>Kumulierter EBITDA</t>
  </si>
  <si>
    <t>Funding-Zufluss</t>
  </si>
  <si>
    <t>Funding (kumuliert)</t>
  </si>
  <si>
    <t>Cash-Bestand (Funding + kum. EBITDA)</t>
  </si>
  <si>
    <t>BREAKEVEN-UMSATZ je Jahr (Fix / DB-Marge)</t>
  </si>
  <si>
    <t>Erforderlicher Umsatz für Breakeven</t>
  </si>
  <si>
    <t>Tatsächlicher Umsatz</t>
  </si>
  <si>
    <t>Δ zu Breakeven</t>
  </si>
  <si>
    <t>Breakeven-Jahr (erstes Jahr mit positivem EBITDA):</t>
  </si>
  <si>
    <t>VERLAUFS-DATEN &amp; DIAGRAMME</t>
  </si>
  <si>
    <t>Jahr</t>
  </si>
  <si>
    <t>Fixkosten</t>
  </si>
  <si>
    <t>Variable Kosten</t>
  </si>
  <si>
    <t>Gesamtkosten</t>
  </si>
  <si>
    <t>Cash-Bestand</t>
  </si>
  <si>
    <t>Breakeven-Umsatz</t>
  </si>
  <si>
    <t>Software-Tools (Supabase, Google-API,GitHub Ent., Claude)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</si>
</sst>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&quot;€&quot;#,##0;\(&quot;€&quot;#,##0\);\-"/>
    <numFmt numFmtId="168" formatCode="&quot;€&quot;#,##0.00;\(&quot;€&quot;#,##0.00\);\-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b/>
      <i/>
      <sz val="11"/>
      <color rgb="FFC00000"/>
      <name val="Arial"/>
      <family val="2"/>
    </font>
    <font>
      <i/>
      <sz val="11"/>
      <name val="Calibri"/>
      <family val="2"/>
    </font>
    <font>
      <sz val="11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4" fillId="4" borderId="0" xfId="0" applyNumberFormat="1" applyFont="1" applyFill="1"/>
    <xf numFmtId="0" fontId="5" fillId="0" borderId="0" xfId="0" applyFont="1"/>
    <xf numFmtId="165" fontId="4" fillId="4" borderId="0" xfId="0" applyNumberFormat="1" applyFont="1" applyFill="1"/>
    <xf numFmtId="166" fontId="4" fillId="4" borderId="0" xfId="0" applyNumberFormat="1" applyFont="1" applyFill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3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wrapText="1"/>
    </xf>
    <xf numFmtId="166" fontId="2" fillId="3" borderId="0" xfId="0" applyNumberFormat="1" applyFont="1" applyFill="1"/>
    <xf numFmtId="0" fontId="0" fillId="0" borderId="0" xfId="0" applyAlignment="1">
      <alignment horizontal="center"/>
    </xf>
    <xf numFmtId="166" fontId="8" fillId="0" borderId="0" xfId="0" applyNumberFormat="1" applyFont="1"/>
    <xf numFmtId="166" fontId="1" fillId="2" borderId="0" xfId="0" applyNumberFormat="1" applyFont="1" applyFill="1"/>
    <xf numFmtId="165" fontId="8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6" fillId="0" borderId="0" xfId="0" applyFont="1"/>
    <xf numFmtId="168" fontId="4" fillId="4" borderId="0" xfId="0" applyNumberFormat="1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Umsatz vs. Gesamtkosten vs. Breakeven-Umsatz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'7_Verlauf_Charts'!$A$4</c:f>
              <c:strCache>
                <c:ptCount val="1"/>
                <c:pt idx="0">
                  <c:v>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'7_Verlauf_Charts'!$B$4:$F$4</c:f>
              <c:numCache>
                <c:formatCode>"€"#,##0;\("€"#,##0\);\-</c:formatCode>
                <c:ptCount val="5"/>
                <c:pt idx="0">
                  <c:v>97115</c:v>
                </c:pt>
                <c:pt idx="1">
                  <c:v>533916.25</c:v>
                </c:pt>
                <c:pt idx="2">
                  <c:v>1851023</c:v>
                </c:pt>
                <c:pt idx="3">
                  <c:v>4585217</c:v>
                </c:pt>
                <c:pt idx="4">
                  <c:v>8675782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7B-1A41-8454-F5C377455020}"/>
            </c:ext>
          </c:extLst>
        </c:ser>
        <c:ser>
          <c:idx val="1"/>
          <c:order val="1"/>
          <c:tx>
            <c:strRef>
              <c:f>'7_Verlauf_Charts'!$A$7</c:f>
              <c:strCache>
                <c:ptCount val="1"/>
                <c:pt idx="0">
                  <c:v>Gesamtkosten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'7_Verlauf_Charts'!$B$7:$F$7</c:f>
              <c:numCache>
                <c:formatCode>"€"#,##0;\("€"#,##0\);\-</c:formatCode>
                <c:ptCount val="5"/>
                <c:pt idx="0">
                  <c:v>467750.13500000001</c:v>
                </c:pt>
                <c:pt idx="1">
                  <c:v>1283918.07125</c:v>
                </c:pt>
                <c:pt idx="2">
                  <c:v>2631840.8670000001</c:v>
                </c:pt>
                <c:pt idx="3">
                  <c:v>4258232.0930000003</c:v>
                </c:pt>
                <c:pt idx="4">
                  <c:v>5409396.4780000001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7B-1A41-8454-F5C377455020}"/>
            </c:ext>
          </c:extLst>
        </c:ser>
        <c:ser>
          <c:idx val="2"/>
          <c:order val="2"/>
          <c:tx>
            <c:strRef>
              <c:f>'7_Verlauf_Charts'!$A$11</c:f>
              <c:strCache>
                <c:ptCount val="1"/>
                <c:pt idx="0">
                  <c:v>Breakeven-Umsatz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'7_Verlauf_Charts'!$B$11:$F$11</c:f>
              <c:numCache>
                <c:formatCode>"€"#,##0;\("€"#,##0\);\-</c:formatCode>
                <c:ptCount val="5"/>
                <c:pt idx="0">
                  <c:v>-527403.90041595278</c:v>
                </c:pt>
                <c:pt idx="1">
                  <c:v>-12813212.13124685</c:v>
                </c:pt>
                <c:pt idx="2">
                  <c:v>5564738.7851692578</c:v>
                </c:pt>
                <c:pt idx="3">
                  <c:v>3769932.030225195</c:v>
                </c:pt>
                <c:pt idx="4">
                  <c:v>2935053.5681276959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7B-1A41-8454-F5C377455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EBITDA &amp; kumulierter EBITDA (Breakeven beim Schnitt mit 0-Linie)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'7_Verlauf_Charts'!$A$8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'7_Verlauf_Charts'!$B$8:$F$8</c:f>
              <c:numCache>
                <c:formatCode>"€"#,##0;\("€"#,##0\);\-</c:formatCode>
                <c:ptCount val="5"/>
                <c:pt idx="0">
                  <c:v>-370635.13500000001</c:v>
                </c:pt>
                <c:pt idx="1">
                  <c:v>-750001.82125000004</c:v>
                </c:pt>
                <c:pt idx="2">
                  <c:v>-780817.86700000009</c:v>
                </c:pt>
                <c:pt idx="3">
                  <c:v>326984.90699999966</c:v>
                </c:pt>
                <c:pt idx="4">
                  <c:v>3266385.5219999999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A7-244C-ADB0-D1C9E21EC42D}"/>
            </c:ext>
          </c:extLst>
        </c:ser>
        <c:ser>
          <c:idx val="1"/>
          <c:order val="1"/>
          <c:tx>
            <c:strRef>
              <c:f>'7_Verlauf_Charts'!$A$9</c:f>
              <c:strCache>
                <c:ptCount val="1"/>
                <c:pt idx="0">
                  <c:v>Kumulierter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'7_Verlauf_Charts'!$B$9:$F$9</c:f>
              <c:numCache>
                <c:formatCode>"€"#,##0;\("€"#,##0\);\-</c:formatCode>
                <c:ptCount val="5"/>
                <c:pt idx="0">
                  <c:v>-370635.13500000001</c:v>
                </c:pt>
                <c:pt idx="1">
                  <c:v>-1120636.95625</c:v>
                </c:pt>
                <c:pt idx="2">
                  <c:v>-1901454.8232500001</c:v>
                </c:pt>
                <c:pt idx="3">
                  <c:v>-1574469.9162500005</c:v>
                </c:pt>
                <c:pt idx="4">
                  <c:v>1691915.6057499994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A7-244C-ADB0-D1C9E21EC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Liquiditätsverlauf (Funding + kum. EBITDA)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'7_Verlauf_Charts'!$A$10</c:f>
              <c:strCache>
                <c:ptCount val="1"/>
                <c:pt idx="0">
                  <c:v>Cash-Bestand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'7_Verlauf_Charts'!$B$10:$F$10</c:f>
              <c:numCache>
                <c:formatCode>"€"#,##0;\("€"#,##0\);\-</c:formatCode>
                <c:ptCount val="5"/>
                <c:pt idx="0">
                  <c:v>1379364.865</c:v>
                </c:pt>
                <c:pt idx="1">
                  <c:v>629363.04374999995</c:v>
                </c:pt>
                <c:pt idx="2">
                  <c:v>4848545.1767499996</c:v>
                </c:pt>
                <c:pt idx="3">
                  <c:v>5175530.0837499993</c:v>
                </c:pt>
                <c:pt idx="4">
                  <c:v>8441915.6057500001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B8-A64F-8AD4-FC1499F35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de-DE"/>
              <a:t>Kostenstruktur Fix vs. Variabel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'7_Verlauf_Charts'!$A$5</c:f>
              <c:strCache>
                <c:ptCount val="1"/>
                <c:pt idx="0">
                  <c:v>Fixkosten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'7_Verlauf_Charts'!$B$5:$F$5</c:f>
              <c:numCache>
                <c:formatCode>"€"#,##0;\("€"#,##0\);\-</c:formatCode>
                <c:ptCount val="5"/>
                <c:pt idx="0">
                  <c:v>313000</c:v>
                </c:pt>
                <c:pt idx="1">
                  <c:v>720000</c:v>
                </c:pt>
                <c:pt idx="2">
                  <c:v>1170000</c:v>
                </c:pt>
                <c:pt idx="3">
                  <c:v>1512000</c:v>
                </c:pt>
                <c:pt idx="4">
                  <c:v>1670000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2-EC42-9940-BE18F1EE268E}"/>
            </c:ext>
          </c:extLst>
        </c:ser>
        <c:ser>
          <c:idx val="1"/>
          <c:order val="1"/>
          <c:tx>
            <c:strRef>
              <c:f>'7_Verlauf_Charts'!$A$6</c:f>
              <c:strCache>
                <c:ptCount val="1"/>
                <c:pt idx="0">
                  <c:v>Variable 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'7_Verlauf_Charts'!$B$6:$F$6</c:f>
              <c:numCache>
                <c:formatCode>"€"#,##0;\("€"#,##0\);\-</c:formatCode>
                <c:ptCount val="5"/>
                <c:pt idx="0">
                  <c:v>154750.13500000001</c:v>
                </c:pt>
                <c:pt idx="1">
                  <c:v>563918.07125000004</c:v>
                </c:pt>
                <c:pt idx="2">
                  <c:v>1461840.8670000001</c:v>
                </c:pt>
                <c:pt idx="3">
                  <c:v>2746232.0930000003</c:v>
                </c:pt>
                <c:pt idx="4">
                  <c:v>3739396.4780000001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2-EC42-9940-BE18F1EE2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79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="121" zoomScaleNormal="121" workbookViewId="0">
      <selection activeCell="B6" sqref="B6"/>
    </sheetView>
  </sheetViews>
  <sheetFormatPr baseColWidth="10" defaultColWidth="8.83203125" defaultRowHeight="15" x14ac:dyDescent="0.2"/>
  <cols>
    <col min="1" max="1" width="52" customWidth="1"/>
    <col min="2" max="2" width="18" customWidth="1"/>
    <col min="3" max="3" width="60" customWidth="1"/>
  </cols>
  <sheetData>
    <row r="1" spans="1:3" x14ac:dyDescent="0.2">
      <c r="A1" s="25" t="s">
        <v>0</v>
      </c>
      <c r="B1" s="24"/>
      <c r="C1" s="24"/>
    </row>
    <row r="3" spans="1:3" x14ac:dyDescent="0.2">
      <c r="A3" s="23" t="s">
        <v>1</v>
      </c>
      <c r="B3" s="24"/>
      <c r="C3" s="24"/>
    </row>
    <row r="4" spans="1:3" x14ac:dyDescent="0.2">
      <c r="A4" s="3" t="s">
        <v>2</v>
      </c>
      <c r="B4" s="4">
        <v>500000</v>
      </c>
      <c r="C4" s="5" t="s">
        <v>3</v>
      </c>
    </row>
    <row r="5" spans="1:3" x14ac:dyDescent="0.2">
      <c r="A5" s="3" t="s">
        <v>4</v>
      </c>
      <c r="B5" s="4">
        <v>6000000</v>
      </c>
      <c r="C5" s="5" t="s">
        <v>5</v>
      </c>
    </row>
    <row r="6" spans="1:3" x14ac:dyDescent="0.2">
      <c r="A6" s="3" t="s">
        <v>6</v>
      </c>
      <c r="B6" s="4">
        <v>12000</v>
      </c>
      <c r="C6" s="5" t="s">
        <v>7</v>
      </c>
    </row>
    <row r="7" spans="1:3" x14ac:dyDescent="0.2">
      <c r="A7" s="3" t="s">
        <v>8</v>
      </c>
      <c r="B7" s="4">
        <v>95000</v>
      </c>
      <c r="C7" s="5" t="s">
        <v>9</v>
      </c>
    </row>
    <row r="8" spans="1:3" x14ac:dyDescent="0.2">
      <c r="A8" s="3" t="s">
        <v>10</v>
      </c>
      <c r="B8" s="6">
        <v>1.2E-2</v>
      </c>
      <c r="C8" s="5" t="s">
        <v>11</v>
      </c>
    </row>
    <row r="10" spans="1:3" x14ac:dyDescent="0.2">
      <c r="A10" s="23" t="s">
        <v>12</v>
      </c>
      <c r="B10" s="24"/>
      <c r="C10" s="24"/>
    </row>
    <row r="11" spans="1:3" x14ac:dyDescent="0.2">
      <c r="A11" s="3" t="s">
        <v>13</v>
      </c>
      <c r="B11" s="6">
        <v>0.04</v>
      </c>
      <c r="C11" s="5" t="s">
        <v>14</v>
      </c>
    </row>
    <row r="12" spans="1:3" x14ac:dyDescent="0.2">
      <c r="A12" s="3" t="s">
        <v>15</v>
      </c>
      <c r="B12" s="6">
        <v>0.01</v>
      </c>
      <c r="C12" s="5" t="s">
        <v>16</v>
      </c>
    </row>
    <row r="13" spans="1:3" x14ac:dyDescent="0.2">
      <c r="A13" s="3" t="s">
        <v>17</v>
      </c>
      <c r="B13" s="6">
        <v>0.03</v>
      </c>
      <c r="C13" s="5" t="s">
        <v>18</v>
      </c>
    </row>
    <row r="14" spans="1:3" x14ac:dyDescent="0.2">
      <c r="A14" s="3" t="s">
        <v>19</v>
      </c>
      <c r="B14" s="6">
        <v>0.02</v>
      </c>
      <c r="C14" s="5" t="s">
        <v>20</v>
      </c>
    </row>
    <row r="16" spans="1:3" x14ac:dyDescent="0.2">
      <c r="A16" s="23" t="s">
        <v>21</v>
      </c>
      <c r="B16" s="24"/>
      <c r="C16" s="24"/>
    </row>
    <row r="17" spans="1:3" x14ac:dyDescent="0.2">
      <c r="A17" s="3" t="s">
        <v>22</v>
      </c>
      <c r="B17" s="7">
        <v>4</v>
      </c>
      <c r="C17" s="5" t="s">
        <v>23</v>
      </c>
    </row>
    <row r="18" spans="1:3" x14ac:dyDescent="0.2">
      <c r="A18" s="3" t="s">
        <v>24</v>
      </c>
      <c r="B18" s="7">
        <v>18</v>
      </c>
      <c r="C18" s="5" t="s">
        <v>25</v>
      </c>
    </row>
    <row r="19" spans="1:3" x14ac:dyDescent="0.2">
      <c r="A19" s="3" t="s">
        <v>26</v>
      </c>
      <c r="B19" s="7">
        <v>240</v>
      </c>
      <c r="C19" s="5" t="s">
        <v>27</v>
      </c>
    </row>
    <row r="21" spans="1:3" x14ac:dyDescent="0.2">
      <c r="A21" s="23" t="s">
        <v>28</v>
      </c>
      <c r="B21" s="24"/>
      <c r="C21" s="24"/>
    </row>
    <row r="22" spans="1:3" x14ac:dyDescent="0.2">
      <c r="A22" s="3" t="s">
        <v>29</v>
      </c>
      <c r="B22" s="7">
        <v>0.12</v>
      </c>
      <c r="C22" s="5" t="s">
        <v>30</v>
      </c>
    </row>
    <row r="23" spans="1:3" x14ac:dyDescent="0.2">
      <c r="A23" s="3" t="s">
        <v>31</v>
      </c>
      <c r="B23" s="7">
        <v>0.18</v>
      </c>
      <c r="C23" s="5" t="s">
        <v>32</v>
      </c>
    </row>
    <row r="24" spans="1:3" x14ac:dyDescent="0.2">
      <c r="A24" s="3" t="s">
        <v>33</v>
      </c>
      <c r="B24" s="6">
        <v>0.3</v>
      </c>
      <c r="C24" s="5" t="s">
        <v>34</v>
      </c>
    </row>
    <row r="25" spans="1:3" x14ac:dyDescent="0.2">
      <c r="A25" s="3" t="s">
        <v>35</v>
      </c>
      <c r="B25" s="6">
        <v>0.15</v>
      </c>
      <c r="C25" s="5" t="s">
        <v>36</v>
      </c>
    </row>
    <row r="26" spans="1:3" x14ac:dyDescent="0.2">
      <c r="A26" s="3" t="s">
        <v>37</v>
      </c>
      <c r="B26" s="6">
        <v>2.9000000000000001E-2</v>
      </c>
      <c r="C26" s="5" t="s">
        <v>38</v>
      </c>
    </row>
    <row r="27" spans="1:3" x14ac:dyDescent="0.2">
      <c r="A27" s="3" t="s">
        <v>39</v>
      </c>
      <c r="B27" s="6">
        <v>0.1</v>
      </c>
      <c r="C27" s="5" t="s">
        <v>40</v>
      </c>
    </row>
    <row r="28" spans="1:3" x14ac:dyDescent="0.2">
      <c r="A28" s="3" t="s">
        <v>41</v>
      </c>
      <c r="B28" s="6">
        <v>0.05</v>
      </c>
      <c r="C28" s="5" t="s">
        <v>42</v>
      </c>
    </row>
    <row r="30" spans="1:3" x14ac:dyDescent="0.2">
      <c r="A30" s="26" t="s">
        <v>43</v>
      </c>
      <c r="B30" s="24"/>
      <c r="C30" s="24"/>
    </row>
  </sheetData>
  <mergeCells count="6">
    <mergeCell ref="A10:C10"/>
    <mergeCell ref="A1:C1"/>
    <mergeCell ref="A3:C3"/>
    <mergeCell ref="A21:C21"/>
    <mergeCell ref="A30:C3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zoomScale="130" zoomScaleNormal="130" workbookViewId="0">
      <selection activeCell="B7" sqref="B7"/>
    </sheetView>
  </sheetViews>
  <sheetFormatPr baseColWidth="10" defaultColWidth="8.83203125" defaultRowHeight="15" x14ac:dyDescent="0.2"/>
  <cols>
    <col min="1" max="1" width="28" customWidth="1"/>
    <col min="2" max="4" width="18" customWidth="1"/>
    <col min="5" max="5" width="40.33203125" bestFit="1" customWidth="1"/>
    <col min="6" max="6" width="18" customWidth="1"/>
  </cols>
  <sheetData>
    <row r="1" spans="1:5" x14ac:dyDescent="0.2">
      <c r="A1" s="25" t="s">
        <v>44</v>
      </c>
      <c r="B1" s="24"/>
      <c r="C1" s="24"/>
      <c r="D1" s="24"/>
      <c r="E1" s="24"/>
    </row>
    <row r="3" spans="1:5" x14ac:dyDescent="0.2">
      <c r="A3" s="23" t="s">
        <v>45</v>
      </c>
      <c r="B3" s="24"/>
      <c r="C3" s="24"/>
      <c r="D3" s="24"/>
      <c r="E3" s="24"/>
    </row>
    <row r="4" spans="1:5" x14ac:dyDescent="0.2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</row>
    <row r="5" spans="1:5" x14ac:dyDescent="0.2">
      <c r="A5" t="s">
        <v>51</v>
      </c>
      <c r="B5" s="27">
        <v>0</v>
      </c>
      <c r="C5" s="27">
        <v>0</v>
      </c>
      <c r="D5" s="8">
        <f>B5*0.6+(C5/12)*0.4</f>
        <v>0</v>
      </c>
      <c r="E5" t="s">
        <v>52</v>
      </c>
    </row>
    <row r="6" spans="1:5" x14ac:dyDescent="0.2">
      <c r="A6" t="s">
        <v>53</v>
      </c>
      <c r="B6" s="27">
        <v>4.99</v>
      </c>
      <c r="C6" s="27">
        <v>49</v>
      </c>
      <c r="D6" s="8">
        <f>B6*0.6+(C6/12)*0.4</f>
        <v>4.6273333333333335</v>
      </c>
      <c r="E6" t="s">
        <v>54</v>
      </c>
    </row>
    <row r="7" spans="1:5" x14ac:dyDescent="0.2">
      <c r="A7" t="s">
        <v>55</v>
      </c>
      <c r="B7" s="27">
        <v>9.99</v>
      </c>
      <c r="C7" s="27">
        <v>99</v>
      </c>
      <c r="D7" s="8">
        <f>B7*0.6+(C7/12)*0.4</f>
        <v>9.2940000000000005</v>
      </c>
      <c r="E7" t="s">
        <v>56</v>
      </c>
    </row>
    <row r="9" spans="1:5" x14ac:dyDescent="0.2">
      <c r="A9" s="23" t="s">
        <v>57</v>
      </c>
      <c r="B9" s="24"/>
      <c r="C9" s="24"/>
      <c r="D9" s="24"/>
      <c r="E9" s="24"/>
    </row>
    <row r="10" spans="1:5" x14ac:dyDescent="0.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58</v>
      </c>
    </row>
    <row r="11" spans="1:5" x14ac:dyDescent="0.2">
      <c r="A11" t="s">
        <v>59</v>
      </c>
      <c r="B11" s="7">
        <v>0</v>
      </c>
      <c r="C11" s="7">
        <v>0</v>
      </c>
      <c r="D11" s="8">
        <f>B11*0.5+(C11/12)*0.5</f>
        <v>0</v>
      </c>
      <c r="E11" t="s">
        <v>60</v>
      </c>
    </row>
    <row r="12" spans="1:5" x14ac:dyDescent="0.2">
      <c r="A12" t="s">
        <v>61</v>
      </c>
      <c r="B12" s="7">
        <v>29</v>
      </c>
      <c r="C12" s="7">
        <v>290</v>
      </c>
      <c r="D12" s="8">
        <f>B12*0.5+(C12/12)*0.5</f>
        <v>26.583333333333336</v>
      </c>
      <c r="E12" t="s">
        <v>62</v>
      </c>
    </row>
    <row r="13" spans="1:5" x14ac:dyDescent="0.2">
      <c r="A13" t="s">
        <v>63</v>
      </c>
      <c r="B13" s="7">
        <v>79</v>
      </c>
      <c r="C13" s="7">
        <v>790</v>
      </c>
      <c r="D13" s="8">
        <f>B13*0.5+(C13/12)*0.5</f>
        <v>72.416666666666657</v>
      </c>
      <c r="E13" t="s">
        <v>64</v>
      </c>
    </row>
    <row r="14" spans="1:5" x14ac:dyDescent="0.2">
      <c r="A14" t="s">
        <v>65</v>
      </c>
      <c r="B14" s="7">
        <v>199</v>
      </c>
      <c r="C14" s="7">
        <v>1990</v>
      </c>
      <c r="D14" s="8">
        <f>B14*0.5+(C14/12)*0.5</f>
        <v>182.41666666666669</v>
      </c>
      <c r="E14" t="s">
        <v>66</v>
      </c>
    </row>
    <row r="17" spans="1:5" x14ac:dyDescent="0.2">
      <c r="A17" s="23" t="s">
        <v>67</v>
      </c>
      <c r="B17" s="24"/>
      <c r="C17" s="24"/>
      <c r="D17" s="24"/>
      <c r="E17" s="24"/>
    </row>
    <row r="18" spans="1:5" x14ac:dyDescent="0.2">
      <c r="A18" t="s">
        <v>68</v>
      </c>
      <c r="B18" s="6">
        <v>0.8</v>
      </c>
    </row>
    <row r="19" spans="1:5" x14ac:dyDescent="0.2">
      <c r="A19" t="s">
        <v>69</v>
      </c>
      <c r="B19" s="6">
        <v>0.2</v>
      </c>
    </row>
    <row r="20" spans="1:5" x14ac:dyDescent="0.2">
      <c r="A20" t="s">
        <v>70</v>
      </c>
      <c r="B20" s="6">
        <v>0.55000000000000004</v>
      </c>
    </row>
    <row r="21" spans="1:5" x14ac:dyDescent="0.2">
      <c r="A21" t="s">
        <v>71</v>
      </c>
      <c r="B21" s="6">
        <v>0.35</v>
      </c>
    </row>
    <row r="22" spans="1:5" x14ac:dyDescent="0.2">
      <c r="A22" t="s">
        <v>72</v>
      </c>
      <c r="B22" s="6">
        <v>0.1</v>
      </c>
    </row>
    <row r="24" spans="1:5" x14ac:dyDescent="0.2">
      <c r="A24" s="9" t="s">
        <v>73</v>
      </c>
      <c r="B24" s="10">
        <f>D6*B18+D7*B19</f>
        <v>5.5606666666666671</v>
      </c>
    </row>
    <row r="25" spans="1:5" x14ac:dyDescent="0.2">
      <c r="A25" s="9" t="s">
        <v>74</v>
      </c>
      <c r="B25" s="10">
        <f>D12*B20+D13*B21+D14*B22</f>
        <v>58.208333333333329</v>
      </c>
    </row>
  </sheetData>
  <mergeCells count="4">
    <mergeCell ref="A1:E1"/>
    <mergeCell ref="A9:E9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baseColWidth="10" defaultColWidth="8.83203125" defaultRowHeight="15" x14ac:dyDescent="0.2"/>
  <cols>
    <col min="1" max="1" width="44" customWidth="1"/>
    <col min="2" max="6" width="16" customWidth="1"/>
  </cols>
  <sheetData>
    <row r="1" spans="1:6" x14ac:dyDescent="0.2">
      <c r="A1" s="25" t="s">
        <v>75</v>
      </c>
      <c r="B1" s="24"/>
      <c r="C1" s="24"/>
      <c r="D1" s="24"/>
      <c r="E1" s="24"/>
      <c r="F1" s="24"/>
    </row>
    <row r="3" spans="1:6" x14ac:dyDescent="0.2">
      <c r="A3" s="2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ht="16" x14ac:dyDescent="0.2">
      <c r="A4" s="12" t="s">
        <v>82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</row>
    <row r="5" spans="1:6" x14ac:dyDescent="0.2">
      <c r="A5" t="s">
        <v>88</v>
      </c>
      <c r="B5" s="7">
        <v>220000</v>
      </c>
      <c r="C5" s="7">
        <v>320000</v>
      </c>
      <c r="D5" s="7">
        <v>380000</v>
      </c>
      <c r="E5" s="7">
        <v>420000</v>
      </c>
      <c r="F5" s="7">
        <v>380000</v>
      </c>
    </row>
    <row r="6" spans="1:6" x14ac:dyDescent="0.2">
      <c r="A6" t="s">
        <v>89</v>
      </c>
      <c r="B6" s="7">
        <v>45000</v>
      </c>
      <c r="C6" s="7">
        <v>60000</v>
      </c>
      <c r="D6" s="7">
        <v>70000</v>
      </c>
      <c r="E6" s="7">
        <v>70000</v>
      </c>
      <c r="F6" s="7">
        <v>60000</v>
      </c>
    </row>
    <row r="7" spans="1:6" x14ac:dyDescent="0.2">
      <c r="A7" t="s">
        <v>90</v>
      </c>
      <c r="B7" s="7">
        <v>18000</v>
      </c>
      <c r="C7" s="7">
        <v>35000</v>
      </c>
      <c r="D7" s="7">
        <v>60000</v>
      </c>
      <c r="E7" s="7">
        <v>90000</v>
      </c>
      <c r="F7" s="7">
        <v>120000</v>
      </c>
    </row>
    <row r="8" spans="1:6" x14ac:dyDescent="0.2">
      <c r="A8" t="s">
        <v>91</v>
      </c>
      <c r="B8" s="7">
        <v>60000</v>
      </c>
      <c r="C8" s="7">
        <v>180000</v>
      </c>
      <c r="D8" s="7">
        <v>350000</v>
      </c>
      <c r="E8" s="7">
        <v>420000</v>
      </c>
      <c r="F8" s="7">
        <v>350000</v>
      </c>
    </row>
    <row r="9" spans="1:6" x14ac:dyDescent="0.2">
      <c r="A9" t="s">
        <v>92</v>
      </c>
      <c r="B9" s="7">
        <v>25000</v>
      </c>
      <c r="C9" s="7">
        <v>90000</v>
      </c>
      <c r="D9" s="7">
        <v>160000</v>
      </c>
      <c r="E9" s="7">
        <v>200000</v>
      </c>
      <c r="F9" s="7">
        <v>180000</v>
      </c>
    </row>
    <row r="10" spans="1:6" x14ac:dyDescent="0.2">
      <c r="A10" t="s">
        <v>93</v>
      </c>
      <c r="B10" s="7">
        <v>20000</v>
      </c>
      <c r="C10" s="7">
        <v>55000</v>
      </c>
      <c r="D10" s="7">
        <v>110000</v>
      </c>
      <c r="E10" s="7">
        <v>160000</v>
      </c>
      <c r="F10" s="7">
        <v>180000</v>
      </c>
    </row>
    <row r="11" spans="1:6" x14ac:dyDescent="0.2">
      <c r="A11" t="s">
        <v>94</v>
      </c>
      <c r="B11" s="7">
        <v>22000</v>
      </c>
      <c r="C11" s="7">
        <v>18000</v>
      </c>
      <c r="D11" s="7">
        <v>25000</v>
      </c>
      <c r="E11" s="7">
        <v>28000</v>
      </c>
      <c r="F11" s="7">
        <v>25000</v>
      </c>
    </row>
    <row r="12" spans="1:6" x14ac:dyDescent="0.2">
      <c r="A12" t="s">
        <v>95</v>
      </c>
      <c r="B12" s="7">
        <v>15000</v>
      </c>
      <c r="C12" s="7">
        <v>22000</v>
      </c>
      <c r="D12" s="7">
        <v>35000</v>
      </c>
      <c r="E12" s="7">
        <v>40000</v>
      </c>
      <c r="F12" s="7">
        <v>40000</v>
      </c>
    </row>
    <row r="13" spans="1:6" x14ac:dyDescent="0.2">
      <c r="A13" t="s">
        <v>96</v>
      </c>
      <c r="B13" s="7">
        <v>42500</v>
      </c>
      <c r="C13" s="7">
        <v>78000</v>
      </c>
      <c r="D13" s="7">
        <v>119000</v>
      </c>
      <c r="E13" s="7">
        <v>142800</v>
      </c>
      <c r="F13" s="7">
        <v>133500</v>
      </c>
    </row>
    <row r="14" spans="1:6" x14ac:dyDescent="0.2">
      <c r="A14" s="2" t="s">
        <v>97</v>
      </c>
      <c r="B14" s="14">
        <f>SUM(B5:B13)</f>
        <v>467500</v>
      </c>
      <c r="C14" s="14">
        <f>SUM(C5:C13)</f>
        <v>858000</v>
      </c>
      <c r="D14" s="14">
        <f>SUM(D5:D13)</f>
        <v>1309000</v>
      </c>
      <c r="E14" s="14">
        <f>SUM(E5:E13)</f>
        <v>1570800</v>
      </c>
      <c r="F14" s="14">
        <f>SUM(F5:F13)</f>
        <v>1468500</v>
      </c>
    </row>
    <row r="15" spans="1:6" x14ac:dyDescent="0.2">
      <c r="A15" s="2" t="s">
        <v>98</v>
      </c>
      <c r="B15" s="14">
        <f>B14</f>
        <v>467500</v>
      </c>
      <c r="C15" s="14">
        <f>B15+C14</f>
        <v>1325500</v>
      </c>
      <c r="D15" s="14">
        <f>C15+D14</f>
        <v>2634500</v>
      </c>
      <c r="E15" s="14">
        <f>D15+E14</f>
        <v>4205300</v>
      </c>
      <c r="F15" s="14">
        <f>E15+F14</f>
        <v>5673800</v>
      </c>
    </row>
    <row r="17" spans="1:4" x14ac:dyDescent="0.2">
      <c r="A17" s="25" t="s">
        <v>99</v>
      </c>
      <c r="B17" s="24"/>
      <c r="C17" s="24"/>
      <c r="D17" s="24"/>
    </row>
    <row r="18" spans="1:4" x14ac:dyDescent="0.2">
      <c r="A18" s="9" t="s">
        <v>100</v>
      </c>
      <c r="B18" s="9" t="s">
        <v>101</v>
      </c>
      <c r="C18" s="9" t="s">
        <v>102</v>
      </c>
    </row>
    <row r="19" spans="1:4" x14ac:dyDescent="0.2">
      <c r="A19" t="s">
        <v>103</v>
      </c>
      <c r="B19" s="15" t="s">
        <v>104</v>
      </c>
      <c r="C19" s="7">
        <v>250000</v>
      </c>
    </row>
    <row r="20" spans="1:4" x14ac:dyDescent="0.2">
      <c r="A20" t="s">
        <v>105</v>
      </c>
      <c r="B20" s="15" t="s">
        <v>106</v>
      </c>
      <c r="C20" s="7">
        <v>1500000</v>
      </c>
    </row>
    <row r="21" spans="1:4" x14ac:dyDescent="0.2">
      <c r="A21" t="s">
        <v>107</v>
      </c>
      <c r="B21" s="15" t="s">
        <v>108</v>
      </c>
      <c r="C21" s="7">
        <v>5000000</v>
      </c>
    </row>
    <row r="22" spans="1:4" x14ac:dyDescent="0.2">
      <c r="A22" s="9" t="s">
        <v>109</v>
      </c>
      <c r="C22" s="10">
        <f>SUM(C19:C21)</f>
        <v>6750000</v>
      </c>
    </row>
  </sheetData>
  <mergeCells count="2">
    <mergeCell ref="A17:D1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8" x14ac:dyDescent="0.2">
      <c r="A1" s="25" t="s">
        <v>110</v>
      </c>
      <c r="B1" s="24"/>
      <c r="C1" s="24"/>
      <c r="D1" s="24"/>
      <c r="E1" s="24"/>
      <c r="F1" s="24"/>
    </row>
    <row r="3" spans="1:8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8" x14ac:dyDescent="0.2">
      <c r="A4" s="23" t="s">
        <v>112</v>
      </c>
      <c r="B4" s="24"/>
      <c r="C4" s="24"/>
      <c r="D4" s="24"/>
      <c r="E4" s="24"/>
      <c r="F4" s="24"/>
    </row>
    <row r="5" spans="1:8" x14ac:dyDescent="0.2">
      <c r="A5" t="s">
        <v>113</v>
      </c>
      <c r="B5" s="7">
        <v>100000</v>
      </c>
      <c r="C5" s="7">
        <v>320000</v>
      </c>
      <c r="D5" s="7">
        <v>480000</v>
      </c>
      <c r="E5" s="7">
        <v>600000</v>
      </c>
      <c r="F5" s="7">
        <v>660000</v>
      </c>
    </row>
    <row r="6" spans="1:8" x14ac:dyDescent="0.2">
      <c r="A6" t="s">
        <v>114</v>
      </c>
      <c r="B6" s="7">
        <v>60000</v>
      </c>
      <c r="C6" s="7">
        <v>140000</v>
      </c>
      <c r="D6" s="7">
        <v>260000</v>
      </c>
      <c r="E6" s="7">
        <v>360000</v>
      </c>
      <c r="F6" s="7">
        <v>380000</v>
      </c>
    </row>
    <row r="7" spans="1:8" x14ac:dyDescent="0.2">
      <c r="A7" t="s">
        <v>115</v>
      </c>
      <c r="B7" s="7">
        <v>30000</v>
      </c>
      <c r="C7" s="7">
        <v>80000</v>
      </c>
      <c r="D7" s="7">
        <v>160000</v>
      </c>
      <c r="E7" s="7">
        <v>220000</v>
      </c>
      <c r="F7" s="7">
        <v>260000</v>
      </c>
    </row>
    <row r="8" spans="1:8" x14ac:dyDescent="0.2">
      <c r="A8" t="s">
        <v>116</v>
      </c>
      <c r="B8" s="7">
        <v>80000</v>
      </c>
      <c r="C8" s="7">
        <v>90000</v>
      </c>
      <c r="D8" s="7">
        <v>120000</v>
      </c>
      <c r="E8" s="7">
        <v>140000</v>
      </c>
      <c r="F8" s="7">
        <v>150000</v>
      </c>
    </row>
    <row r="9" spans="1:8" x14ac:dyDescent="0.2">
      <c r="A9" t="s">
        <v>117</v>
      </c>
      <c r="B9" s="7">
        <v>9000</v>
      </c>
      <c r="C9" s="7">
        <v>18000</v>
      </c>
      <c r="D9" s="7">
        <v>30000</v>
      </c>
      <c r="E9" s="7">
        <v>36000</v>
      </c>
      <c r="F9" s="7">
        <v>42000</v>
      </c>
    </row>
    <row r="10" spans="1:8" x14ac:dyDescent="0.2">
      <c r="A10" t="s">
        <v>185</v>
      </c>
      <c r="B10" s="7">
        <v>1000</v>
      </c>
      <c r="C10" s="7">
        <v>14000</v>
      </c>
      <c r="D10" s="7">
        <v>22000</v>
      </c>
      <c r="E10" s="7">
        <v>30000</v>
      </c>
      <c r="F10" s="7">
        <v>36000</v>
      </c>
    </row>
    <row r="11" spans="1:8" x14ac:dyDescent="0.2">
      <c r="A11" t="s">
        <v>118</v>
      </c>
      <c r="B11" s="7">
        <v>18000</v>
      </c>
      <c r="C11" s="7">
        <v>22000</v>
      </c>
      <c r="D11" s="7">
        <v>28000</v>
      </c>
      <c r="E11" s="7">
        <v>32000</v>
      </c>
      <c r="F11" s="7">
        <v>36000</v>
      </c>
      <c r="H11" s="7">
        <f>12*20+18*12+25*12</f>
        <v>756</v>
      </c>
    </row>
    <row r="12" spans="1:8" x14ac:dyDescent="0.2">
      <c r="A12" t="s">
        <v>119</v>
      </c>
      <c r="B12" s="7">
        <v>3000</v>
      </c>
      <c r="C12" s="7">
        <v>6000</v>
      </c>
      <c r="D12" s="7">
        <v>10000</v>
      </c>
      <c r="E12" s="7">
        <v>14000</v>
      </c>
      <c r="F12" s="7">
        <v>16000</v>
      </c>
    </row>
    <row r="13" spans="1:8" x14ac:dyDescent="0.2">
      <c r="A13" t="s">
        <v>120</v>
      </c>
      <c r="B13" s="7">
        <v>12000</v>
      </c>
      <c r="C13" s="7">
        <v>30000</v>
      </c>
      <c r="D13" s="7">
        <v>60000</v>
      </c>
      <c r="E13" s="7">
        <v>80000</v>
      </c>
      <c r="F13" s="7">
        <v>90000</v>
      </c>
    </row>
    <row r="14" spans="1:8" x14ac:dyDescent="0.2">
      <c r="A14" s="2" t="s">
        <v>121</v>
      </c>
      <c r="B14" s="14">
        <f>SUM(B5:B13)</f>
        <v>313000</v>
      </c>
      <c r="C14" s="14">
        <f>SUM(C5:C13)</f>
        <v>720000</v>
      </c>
      <c r="D14" s="14">
        <f>SUM(D5:D13)</f>
        <v>1170000</v>
      </c>
      <c r="E14" s="14">
        <f>SUM(E5:E13)</f>
        <v>1512000</v>
      </c>
      <c r="F14" s="14">
        <f>SUM(F5:F13)</f>
        <v>1670000</v>
      </c>
    </row>
    <row r="16" spans="1:8" x14ac:dyDescent="0.2">
      <c r="A16" s="23" t="s">
        <v>122</v>
      </c>
      <c r="B16" s="24"/>
      <c r="C16" s="24"/>
      <c r="D16" s="24"/>
      <c r="E16" s="24"/>
      <c r="F16" s="24"/>
    </row>
    <row r="17" spans="1:6" x14ac:dyDescent="0.2">
      <c r="A17" t="s">
        <v>123</v>
      </c>
      <c r="B17" s="16">
        <f>'5_Umsatz_Prognose'!B26</f>
        <v>21600</v>
      </c>
      <c r="C17" s="16">
        <f>'5_Umsatz_Prognose'!C26</f>
        <v>108000</v>
      </c>
      <c r="D17" s="16">
        <f>'5_Umsatz_Prognose'!D26</f>
        <v>316800</v>
      </c>
      <c r="E17" s="16">
        <f>'5_Umsatz_Prognose'!E26</f>
        <v>691200</v>
      </c>
      <c r="F17" s="16">
        <f>'5_Umsatz_Prognose'!F26</f>
        <v>1123200</v>
      </c>
    </row>
    <row r="18" spans="1:6" x14ac:dyDescent="0.2">
      <c r="A18" t="s">
        <v>124</v>
      </c>
      <c r="B18" s="16">
        <f>'5_Umsatz_Prognose'!B27</f>
        <v>1620</v>
      </c>
      <c r="C18" s="16">
        <f>'5_Umsatz_Prognose'!C27</f>
        <v>8100</v>
      </c>
      <c r="D18" s="16">
        <f>'5_Umsatz_Prognose'!D27</f>
        <v>23760</v>
      </c>
      <c r="E18" s="16">
        <f>'5_Umsatz_Prognose'!E27</f>
        <v>51840</v>
      </c>
      <c r="F18" s="16">
        <f>'5_Umsatz_Prognose'!F27</f>
        <v>84240</v>
      </c>
    </row>
    <row r="19" spans="1:6" x14ac:dyDescent="0.2">
      <c r="A19" t="s">
        <v>125</v>
      </c>
      <c r="B19" s="16">
        <f>'5_Umsatz_Prognose'!B28</f>
        <v>15013.8</v>
      </c>
      <c r="C19" s="16">
        <f>'5_Umsatz_Prognose'!C28</f>
        <v>37534.5</v>
      </c>
      <c r="D19" s="16">
        <f>'5_Umsatz_Prognose'!D28</f>
        <v>110101.2</v>
      </c>
      <c r="E19" s="16">
        <f>'5_Umsatz_Prognose'!E28</f>
        <v>240220.79999999999</v>
      </c>
      <c r="F19" s="16">
        <f>'5_Umsatz_Prognose'!F28</f>
        <v>390358.80000000005</v>
      </c>
    </row>
    <row r="20" spans="1:6" x14ac:dyDescent="0.2">
      <c r="A20" t="s">
        <v>126</v>
      </c>
      <c r="B20" s="16">
        <f>'5_Umsatz_Prognose'!B29</f>
        <v>2816.335</v>
      </c>
      <c r="C20" s="16">
        <f>'5_Umsatz_Prognose'!C29</f>
        <v>15483.571250000001</v>
      </c>
      <c r="D20" s="16">
        <f>'5_Umsatz_Prognose'!D29</f>
        <v>53679.667000000001</v>
      </c>
      <c r="E20" s="16">
        <f>'5_Umsatz_Prognose'!E29</f>
        <v>132971.29300000001</v>
      </c>
      <c r="F20" s="16">
        <f>'5_Umsatz_Prognose'!F29</f>
        <v>251597.67800000001</v>
      </c>
    </row>
    <row r="21" spans="1:6" x14ac:dyDescent="0.2">
      <c r="A21" t="s">
        <v>127</v>
      </c>
      <c r="B21" s="16">
        <f>'5_Umsatz_Prognose'!B30</f>
        <v>60000</v>
      </c>
      <c r="C21" s="16">
        <f>'5_Umsatz_Prognose'!C30</f>
        <v>240000</v>
      </c>
      <c r="D21" s="16">
        <f>'5_Umsatz_Prognose'!D30</f>
        <v>580000</v>
      </c>
      <c r="E21" s="16">
        <f>'5_Umsatz_Prognose'!E30</f>
        <v>1040000</v>
      </c>
      <c r="F21" s="16">
        <f>'5_Umsatz_Prognose'!F30</f>
        <v>1200000</v>
      </c>
    </row>
    <row r="22" spans="1:6" x14ac:dyDescent="0.2">
      <c r="A22" t="s">
        <v>128</v>
      </c>
      <c r="B22" s="16">
        <f>'5_Umsatz_Prognose'!B31</f>
        <v>10500</v>
      </c>
      <c r="C22" s="16">
        <f>'5_Umsatz_Prognose'!C31</f>
        <v>42000</v>
      </c>
      <c r="D22" s="16">
        <f>'5_Umsatz_Prognose'!D31</f>
        <v>101500</v>
      </c>
      <c r="E22" s="16">
        <f>'5_Umsatz_Prognose'!E31</f>
        <v>182000</v>
      </c>
      <c r="F22" s="16">
        <f>'5_Umsatz_Prognose'!F31</f>
        <v>210000</v>
      </c>
    </row>
    <row r="23" spans="1:6" x14ac:dyDescent="0.2">
      <c r="A23" t="s">
        <v>129</v>
      </c>
      <c r="B23" s="16">
        <f>'5_Umsatz_Prognose'!B32</f>
        <v>43200</v>
      </c>
      <c r="C23" s="16">
        <f>'5_Umsatz_Prognose'!C32</f>
        <v>112800</v>
      </c>
      <c r="D23" s="16">
        <f>'5_Umsatz_Prognose'!D32</f>
        <v>276000</v>
      </c>
      <c r="E23" s="16">
        <f>'5_Umsatz_Prognose'!E32</f>
        <v>408000</v>
      </c>
      <c r="F23" s="16">
        <f>'5_Umsatz_Prognose'!F32</f>
        <v>480000</v>
      </c>
    </row>
    <row r="24" spans="1:6" x14ac:dyDescent="0.2">
      <c r="A24" s="2" t="s">
        <v>130</v>
      </c>
      <c r="B24" s="14">
        <f>SUM(B17:B23)</f>
        <v>154750.13500000001</v>
      </c>
      <c r="C24" s="14">
        <f>SUM(C17:C23)</f>
        <v>563918.07125000004</v>
      </c>
      <c r="D24" s="14">
        <f>SUM(D17:D23)</f>
        <v>1461840.8670000001</v>
      </c>
      <c r="E24" s="14">
        <f>SUM(E17:E23)</f>
        <v>2746232.0930000003</v>
      </c>
      <c r="F24" s="14">
        <f>SUM(F17:F23)</f>
        <v>3739396.4780000001</v>
      </c>
    </row>
    <row r="26" spans="1:6" x14ac:dyDescent="0.2">
      <c r="A26" s="1" t="s">
        <v>131</v>
      </c>
      <c r="B26" s="17">
        <f>B14+B24</f>
        <v>467750.13500000001</v>
      </c>
      <c r="C26" s="17">
        <f>C14+C24</f>
        <v>1283918.07125</v>
      </c>
      <c r="D26" s="17">
        <f>D14+D24</f>
        <v>2631840.8670000001</v>
      </c>
      <c r="E26" s="17">
        <f>E14+E24</f>
        <v>4258232.0930000003</v>
      </c>
      <c r="F26" s="17">
        <f>F14+F24</f>
        <v>5409396.4780000001</v>
      </c>
    </row>
  </sheetData>
  <mergeCells count="3">
    <mergeCell ref="A16:F16"/>
    <mergeCell ref="A1:F1"/>
    <mergeCell ref="A4:F4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opLeftCell="A8" zoomScale="143" zoomScaleNormal="143" workbookViewId="0">
      <selection activeCell="B15" sqref="B15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25" t="s">
        <v>132</v>
      </c>
      <c r="B1" s="24"/>
      <c r="C1" s="24"/>
      <c r="D1" s="24"/>
      <c r="E1" s="24"/>
      <c r="F1" s="24"/>
    </row>
    <row r="3" spans="1:6" x14ac:dyDescent="0.2">
      <c r="A3" s="2" t="s">
        <v>133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23" t="s">
        <v>134</v>
      </c>
      <c r="B4" s="24"/>
      <c r="C4" s="24"/>
      <c r="D4" s="24"/>
      <c r="E4" s="24"/>
      <c r="F4" s="24"/>
    </row>
    <row r="5" spans="1:6" x14ac:dyDescent="0.2">
      <c r="A5" t="s">
        <v>135</v>
      </c>
      <c r="B5" s="4">
        <v>15000</v>
      </c>
      <c r="C5" s="4">
        <v>75000</v>
      </c>
      <c r="D5" s="4">
        <v>220000</v>
      </c>
      <c r="E5" s="4">
        <v>480000</v>
      </c>
      <c r="F5" s="4">
        <v>780000</v>
      </c>
    </row>
    <row r="6" spans="1:6" x14ac:dyDescent="0.2">
      <c r="A6" t="s">
        <v>136</v>
      </c>
      <c r="B6" s="18">
        <f>'1_Annahmen'!B11</f>
        <v>0.04</v>
      </c>
      <c r="C6" s="18">
        <f>'1_Annahmen'!B11</f>
        <v>0.04</v>
      </c>
      <c r="D6" s="18">
        <f>'1_Annahmen'!B11</f>
        <v>0.04</v>
      </c>
      <c r="E6" s="18">
        <f>'1_Annahmen'!B11</f>
        <v>0.04</v>
      </c>
      <c r="F6" s="18">
        <f>'1_Annahmen'!B11</f>
        <v>0.04</v>
      </c>
    </row>
    <row r="7" spans="1:6" x14ac:dyDescent="0.2">
      <c r="A7" t="s">
        <v>137</v>
      </c>
      <c r="B7" s="18">
        <f>'1_Annahmen'!B12</f>
        <v>0.01</v>
      </c>
      <c r="C7" s="18">
        <f>'1_Annahmen'!B12</f>
        <v>0.01</v>
      </c>
      <c r="D7" s="18">
        <f>'1_Annahmen'!B12</f>
        <v>0.01</v>
      </c>
      <c r="E7" s="18">
        <f>'1_Annahmen'!B12</f>
        <v>0.01</v>
      </c>
      <c r="F7" s="18">
        <f>'1_Annahmen'!B12</f>
        <v>0.01</v>
      </c>
    </row>
    <row r="8" spans="1:6" x14ac:dyDescent="0.2">
      <c r="A8" t="s">
        <v>138</v>
      </c>
      <c r="B8" s="19">
        <f>B5*B6</f>
        <v>600</v>
      </c>
      <c r="C8" s="19">
        <f>C5*C6</f>
        <v>3000</v>
      </c>
      <c r="D8" s="19">
        <f>D5*D6</f>
        <v>8800</v>
      </c>
      <c r="E8" s="19">
        <f>E5*E6</f>
        <v>19200</v>
      </c>
      <c r="F8" s="19">
        <f>F5*F6</f>
        <v>31200</v>
      </c>
    </row>
    <row r="9" spans="1:6" x14ac:dyDescent="0.2">
      <c r="A9" t="s">
        <v>139</v>
      </c>
      <c r="B9" s="19">
        <f>B5*B7</f>
        <v>150</v>
      </c>
      <c r="C9" s="19">
        <f>C5*C7</f>
        <v>750</v>
      </c>
      <c r="D9" s="19">
        <f>D5*D7</f>
        <v>2200</v>
      </c>
      <c r="E9" s="19">
        <f>E5*E7</f>
        <v>4800</v>
      </c>
      <c r="F9" s="19">
        <f>F5*F7</f>
        <v>7800</v>
      </c>
    </row>
    <row r="10" spans="1:6" x14ac:dyDescent="0.2">
      <c r="A10" s="9" t="s">
        <v>140</v>
      </c>
      <c r="B10" s="20">
        <f>B8+B9</f>
        <v>750</v>
      </c>
      <c r="C10" s="20">
        <f>C8+C9</f>
        <v>3750</v>
      </c>
      <c r="D10" s="20">
        <f>D8+D9</f>
        <v>11000</v>
      </c>
      <c r="E10" s="20">
        <f>E8+E9</f>
        <v>24000</v>
      </c>
      <c r="F10" s="20">
        <f>F8+F9</f>
        <v>39000</v>
      </c>
    </row>
    <row r="12" spans="1:6" x14ac:dyDescent="0.2">
      <c r="A12" s="23" t="s">
        <v>141</v>
      </c>
      <c r="B12" s="24"/>
      <c r="C12" s="24"/>
      <c r="D12" s="24"/>
      <c r="E12" s="24"/>
      <c r="F12" s="24"/>
    </row>
    <row r="13" spans="1:6" x14ac:dyDescent="0.2">
      <c r="A13" t="s">
        <v>142</v>
      </c>
      <c r="B13" s="4">
        <v>180</v>
      </c>
      <c r="C13" s="4">
        <v>650</v>
      </c>
      <c r="D13" s="4">
        <v>1800</v>
      </c>
      <c r="E13" s="4">
        <v>3500</v>
      </c>
      <c r="F13" s="4">
        <v>5500</v>
      </c>
    </row>
    <row r="14" spans="1:6" x14ac:dyDescent="0.2">
      <c r="A14" t="s">
        <v>143</v>
      </c>
      <c r="B14" s="6">
        <v>0.3</v>
      </c>
      <c r="C14" s="6">
        <v>0.45</v>
      </c>
      <c r="D14" s="6">
        <v>0.55000000000000004</v>
      </c>
      <c r="E14" s="6">
        <v>0.62</v>
      </c>
      <c r="F14" s="6">
        <v>0.68</v>
      </c>
    </row>
    <row r="15" spans="1:6" x14ac:dyDescent="0.2">
      <c r="A15" s="9" t="s">
        <v>144</v>
      </c>
      <c r="B15" s="20">
        <f>B13*B14</f>
        <v>54</v>
      </c>
      <c r="C15" s="20">
        <f>C13*C14</f>
        <v>292.5</v>
      </c>
      <c r="D15" s="20">
        <f>D13*D14</f>
        <v>990.00000000000011</v>
      </c>
      <c r="E15" s="20">
        <f>E13*E14</f>
        <v>2170</v>
      </c>
      <c r="F15" s="20">
        <f>F13*F14</f>
        <v>3740.0000000000005</v>
      </c>
    </row>
    <row r="17" spans="1:6" x14ac:dyDescent="0.2">
      <c r="A17" s="23" t="s">
        <v>145</v>
      </c>
      <c r="B17" s="24"/>
      <c r="C17" s="24"/>
      <c r="D17" s="24"/>
      <c r="E17" s="24"/>
      <c r="F17" s="24"/>
    </row>
    <row r="18" spans="1:6" x14ac:dyDescent="0.2">
      <c r="A18" t="s">
        <v>146</v>
      </c>
      <c r="B18" s="8">
        <f>B10*'2_Pricing'!B24*12</f>
        <v>50046</v>
      </c>
      <c r="C18" s="8">
        <f>C10*'2_Pricing'!B24*12</f>
        <v>250230</v>
      </c>
      <c r="D18" s="8">
        <f>D10*'2_Pricing'!B24*12</f>
        <v>734008</v>
      </c>
      <c r="E18" s="8">
        <f>E10*'2_Pricing'!B24*12</f>
        <v>1601472</v>
      </c>
      <c r="F18" s="8">
        <f>F10*'2_Pricing'!B24*12</f>
        <v>2602392.0000000005</v>
      </c>
    </row>
    <row r="19" spans="1:6" x14ac:dyDescent="0.2">
      <c r="A19" t="s">
        <v>147</v>
      </c>
      <c r="B19" s="8">
        <f>B15*'2_Pricing'!B25*12</f>
        <v>37718.999999999993</v>
      </c>
      <c r="C19" s="8">
        <f>C15*'2_Pricing'!B25*12</f>
        <v>204311.25</v>
      </c>
      <c r="D19" s="8">
        <f>D15*'2_Pricing'!B25*12</f>
        <v>691515</v>
      </c>
      <c r="E19" s="8">
        <f>E15*'2_Pricing'!B25*12</f>
        <v>1515745</v>
      </c>
      <c r="F19" s="8">
        <f>F15*'2_Pricing'!B25*12</f>
        <v>2612390</v>
      </c>
    </row>
    <row r="20" spans="1:6" x14ac:dyDescent="0.2">
      <c r="A20" t="s">
        <v>148</v>
      </c>
      <c r="B20" s="8">
        <f>B10*60*0.8*'1_Annahmen'!B27</f>
        <v>3600</v>
      </c>
      <c r="C20" s="8">
        <f>C10*80*1.5*'1_Annahmen'!B27</f>
        <v>45000</v>
      </c>
      <c r="D20" s="8">
        <f>D10*100*2.5*'1_Annahmen'!B27</f>
        <v>275000</v>
      </c>
      <c r="E20" s="8">
        <f>E10*120*3.5*'1_Annahmen'!B27</f>
        <v>1008000</v>
      </c>
      <c r="F20" s="8">
        <f>F10*140*4.5*'1_Annahmen'!B27</f>
        <v>2457000</v>
      </c>
    </row>
    <row r="21" spans="1:6" x14ac:dyDescent="0.2">
      <c r="A21" t="s">
        <v>149</v>
      </c>
      <c r="B21" s="8">
        <f>B10*20*'1_Annahmen'!B28</f>
        <v>750</v>
      </c>
      <c r="C21" s="8">
        <f>C10*50*'1_Annahmen'!B28</f>
        <v>9375</v>
      </c>
      <c r="D21" s="8">
        <f>D10*110*'1_Annahmen'!B28</f>
        <v>60500</v>
      </c>
      <c r="E21" s="8">
        <f>E10*200*'1_Annahmen'!B28</f>
        <v>240000</v>
      </c>
      <c r="F21" s="8">
        <f>F10*320*'1_Annahmen'!B28</f>
        <v>624000</v>
      </c>
    </row>
    <row r="22" spans="1:6" x14ac:dyDescent="0.2">
      <c r="A22" t="s">
        <v>150</v>
      </c>
      <c r="B22" s="7">
        <v>5000</v>
      </c>
      <c r="C22" s="7">
        <v>25000</v>
      </c>
      <c r="D22" s="7">
        <v>90000</v>
      </c>
      <c r="E22" s="7">
        <v>220000</v>
      </c>
      <c r="F22" s="7">
        <v>380000</v>
      </c>
    </row>
    <row r="23" spans="1:6" x14ac:dyDescent="0.2">
      <c r="A23" s="2" t="s">
        <v>151</v>
      </c>
      <c r="B23" s="14">
        <f>SUM(B18:B22)</f>
        <v>97115</v>
      </c>
      <c r="C23" s="14">
        <f>SUM(C18:C22)</f>
        <v>533916.25</v>
      </c>
      <c r="D23" s="14">
        <f>SUM(D18:D22)</f>
        <v>1851023</v>
      </c>
      <c r="E23" s="14">
        <f>SUM(E18:E22)</f>
        <v>4585217</v>
      </c>
      <c r="F23" s="14">
        <f>SUM(F18:F22)</f>
        <v>8675782</v>
      </c>
    </row>
    <row r="25" spans="1:6" x14ac:dyDescent="0.2">
      <c r="A25" s="23" t="s">
        <v>152</v>
      </c>
      <c r="B25" s="24"/>
      <c r="C25" s="24"/>
      <c r="D25" s="24"/>
      <c r="E25" s="24"/>
      <c r="F25" s="24"/>
    </row>
    <row r="26" spans="1:6" x14ac:dyDescent="0.2">
      <c r="A26" t="s">
        <v>153</v>
      </c>
      <c r="B26" s="8">
        <f>B5*'1_Annahmen'!B22*12</f>
        <v>21600</v>
      </c>
      <c r="C26" s="8">
        <f>C5*'1_Annahmen'!B22*12</f>
        <v>108000</v>
      </c>
      <c r="D26" s="8">
        <f>D5*'1_Annahmen'!B22*12</f>
        <v>316800</v>
      </c>
      <c r="E26" s="8">
        <f>E5*'1_Annahmen'!B22*12</f>
        <v>691200</v>
      </c>
      <c r="F26" s="8">
        <f>F5*'1_Annahmen'!B22*12</f>
        <v>1123200</v>
      </c>
    </row>
    <row r="27" spans="1:6" x14ac:dyDescent="0.2">
      <c r="A27" t="s">
        <v>154</v>
      </c>
      <c r="B27" s="8">
        <f>B10*'1_Annahmen'!B23*12</f>
        <v>1620</v>
      </c>
      <c r="C27" s="8">
        <f>C10*'1_Annahmen'!B23*12</f>
        <v>8100</v>
      </c>
      <c r="D27" s="8">
        <f>D10*'1_Annahmen'!B23*12</f>
        <v>23760</v>
      </c>
      <c r="E27" s="8">
        <f>E10*'1_Annahmen'!B23*12</f>
        <v>51840</v>
      </c>
      <c r="F27" s="8">
        <f>F10*'1_Annahmen'!B23*12</f>
        <v>84240</v>
      </c>
    </row>
    <row r="28" spans="1:6" x14ac:dyDescent="0.2">
      <c r="A28" t="s">
        <v>155</v>
      </c>
      <c r="B28" s="8">
        <f>B18*'1_Annahmen'!B24</f>
        <v>15013.8</v>
      </c>
      <c r="C28" s="8">
        <f>C18*'1_Annahmen'!B25</f>
        <v>37534.5</v>
      </c>
      <c r="D28" s="8">
        <f>D18*'1_Annahmen'!B25</f>
        <v>110101.2</v>
      </c>
      <c r="E28" s="8">
        <f>E18*'1_Annahmen'!B25</f>
        <v>240220.79999999999</v>
      </c>
      <c r="F28" s="8">
        <f>F18*'1_Annahmen'!B25</f>
        <v>390358.80000000005</v>
      </c>
    </row>
    <row r="29" spans="1:6" x14ac:dyDescent="0.2">
      <c r="A29" t="s">
        <v>156</v>
      </c>
      <c r="B29" s="8">
        <f>B23*'1_Annahmen'!B26</f>
        <v>2816.335</v>
      </c>
      <c r="C29" s="8">
        <f>C23*'1_Annahmen'!B26</f>
        <v>15483.571250000001</v>
      </c>
      <c r="D29" s="8">
        <f>D23*'1_Annahmen'!B26</f>
        <v>53679.667000000001</v>
      </c>
      <c r="E29" s="8">
        <f>E23*'1_Annahmen'!B26</f>
        <v>132971.29300000001</v>
      </c>
      <c r="F29" s="8">
        <f>F23*'1_Annahmen'!B26</f>
        <v>251597.67800000001</v>
      </c>
    </row>
    <row r="30" spans="1:6" x14ac:dyDescent="0.2">
      <c r="A30" t="s">
        <v>157</v>
      </c>
      <c r="B30" s="8">
        <f>B5*'1_Annahmen'!B17</f>
        <v>60000</v>
      </c>
      <c r="C30" s="8">
        <f>MAX(0,C5-B5)*'1_Annahmen'!B17</f>
        <v>240000</v>
      </c>
      <c r="D30" s="8">
        <f>MAX(0,D5-C5)*'1_Annahmen'!B17</f>
        <v>580000</v>
      </c>
      <c r="E30" s="8">
        <f>MAX(0,E5-D5)*'1_Annahmen'!B17</f>
        <v>1040000</v>
      </c>
      <c r="F30" s="8">
        <f>MAX(0,F5-E5)*'1_Annahmen'!B17</f>
        <v>1200000</v>
      </c>
    </row>
    <row r="31" spans="1:6" x14ac:dyDescent="0.2">
      <c r="A31" t="s">
        <v>158</v>
      </c>
      <c r="B31" s="8">
        <f>B10*('1_Annahmen'!B18-'1_Annahmen'!B17)</f>
        <v>10500</v>
      </c>
      <c r="C31" s="8">
        <f>MAX(0,C10-B10)*('1_Annahmen'!B18-'1_Annahmen'!B17)</f>
        <v>42000</v>
      </c>
      <c r="D31" s="8">
        <f>MAX(0,D10-C10)*('1_Annahmen'!B18-'1_Annahmen'!B17)</f>
        <v>101500</v>
      </c>
      <c r="E31" s="8">
        <f>MAX(0,E10-D10)*('1_Annahmen'!B18-'1_Annahmen'!B17)</f>
        <v>182000</v>
      </c>
      <c r="F31" s="8">
        <f>MAX(0,F10-E10)*('1_Annahmen'!B18-'1_Annahmen'!B17)</f>
        <v>210000</v>
      </c>
    </row>
    <row r="32" spans="1:6" x14ac:dyDescent="0.2">
      <c r="A32" t="s">
        <v>159</v>
      </c>
      <c r="B32" s="8">
        <f>B13*'1_Annahmen'!B19</f>
        <v>43200</v>
      </c>
      <c r="C32" s="8">
        <f>MAX(0,C13-B13)*'1_Annahmen'!B19</f>
        <v>112800</v>
      </c>
      <c r="D32" s="8">
        <f>MAX(0,D13-C13)*'1_Annahmen'!B19</f>
        <v>276000</v>
      </c>
      <c r="E32" s="8">
        <f>MAX(0,E13-D13)*'1_Annahmen'!B19</f>
        <v>408000</v>
      </c>
      <c r="F32" s="8">
        <f>MAX(0,F13-E13)*'1_Annahmen'!B19</f>
        <v>480000</v>
      </c>
    </row>
    <row r="33" spans="1:6" x14ac:dyDescent="0.2">
      <c r="A33" s="9" t="s">
        <v>130</v>
      </c>
      <c r="B33" s="10">
        <f>SUM(B26:B32)</f>
        <v>154750.13500000001</v>
      </c>
      <c r="C33" s="10">
        <f>SUM(C26:C32)</f>
        <v>563918.07125000004</v>
      </c>
      <c r="D33" s="10">
        <f>SUM(D26:D32)</f>
        <v>1461840.8670000001</v>
      </c>
      <c r="E33" s="10">
        <f>SUM(E26:E32)</f>
        <v>2746232.0930000003</v>
      </c>
      <c r="F33" s="10">
        <f>SUM(F26:F32)</f>
        <v>3739396.4780000001</v>
      </c>
    </row>
  </sheetData>
  <mergeCells count="5">
    <mergeCell ref="A1:F1"/>
    <mergeCell ref="A17:F17"/>
    <mergeCell ref="A12:F12"/>
    <mergeCell ref="A4:F4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zoomScale="146" zoomScaleNormal="146"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7" width="18" customWidth="1"/>
  </cols>
  <sheetData>
    <row r="1" spans="1:6" x14ac:dyDescent="0.2">
      <c r="A1" s="25" t="s">
        <v>160</v>
      </c>
      <c r="B1" s="24"/>
      <c r="C1" s="24"/>
      <c r="D1" s="24"/>
      <c r="E1" s="24"/>
      <c r="F1" s="24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9" t="s">
        <v>161</v>
      </c>
      <c r="B4" s="16">
        <f>'5_Umsatz_Prognose'!B23</f>
        <v>97115</v>
      </c>
      <c r="C4" s="16">
        <f>'5_Umsatz_Prognose'!C23</f>
        <v>533916.25</v>
      </c>
      <c r="D4" s="16">
        <f>'5_Umsatz_Prognose'!D23</f>
        <v>1851023</v>
      </c>
      <c r="E4" s="16">
        <f>'5_Umsatz_Prognose'!E23</f>
        <v>4585217</v>
      </c>
      <c r="F4" s="16">
        <f>'5_Umsatz_Prognose'!F23</f>
        <v>8675782</v>
      </c>
    </row>
    <row r="5" spans="1:6" x14ac:dyDescent="0.2">
      <c r="A5" t="s">
        <v>162</v>
      </c>
      <c r="B5" s="16">
        <f>-'5_Umsatz_Prognose'!B33</f>
        <v>-154750.13500000001</v>
      </c>
      <c r="C5" s="16">
        <f>-'5_Umsatz_Prognose'!C33</f>
        <v>-563918.07125000004</v>
      </c>
      <c r="D5" s="16">
        <f>-'5_Umsatz_Prognose'!D33</f>
        <v>-1461840.8670000001</v>
      </c>
      <c r="E5" s="16">
        <f>-'5_Umsatz_Prognose'!E33</f>
        <v>-2746232.0930000003</v>
      </c>
      <c r="F5" s="16">
        <f>-'5_Umsatz_Prognose'!F33</f>
        <v>-3739396.4780000001</v>
      </c>
    </row>
    <row r="6" spans="1:6" x14ac:dyDescent="0.2">
      <c r="A6" s="9" t="s">
        <v>163</v>
      </c>
      <c r="B6" s="10">
        <f>B4+B5</f>
        <v>-57635.135000000009</v>
      </c>
      <c r="C6" s="10">
        <f>C4+C5</f>
        <v>-30001.821250000037</v>
      </c>
      <c r="D6" s="10">
        <f>D4+D5</f>
        <v>389182.13299999991</v>
      </c>
      <c r="E6" s="10">
        <f>E4+E5</f>
        <v>1838984.9069999997</v>
      </c>
      <c r="F6" s="10">
        <f>F4+F5</f>
        <v>4936385.5219999999</v>
      </c>
    </row>
    <row r="7" spans="1:6" x14ac:dyDescent="0.2">
      <c r="A7" t="s">
        <v>164</v>
      </c>
      <c r="B7" s="21">
        <f>IFERROR(B6/B4,0)</f>
        <v>-0.59347304741800966</v>
      </c>
      <c r="C7" s="21">
        <f>IFERROR(C6/C4,0)</f>
        <v>-5.619199874512161E-2</v>
      </c>
      <c r="D7" s="21">
        <f>IFERROR(D6/D4,0)</f>
        <v>0.21025245661453149</v>
      </c>
      <c r="E7" s="21">
        <f>IFERROR(E6/E4,0)</f>
        <v>0.40106823886415838</v>
      </c>
      <c r="F7" s="21">
        <f>IFERROR(F6/F4,0)</f>
        <v>0.56898450445158721</v>
      </c>
    </row>
    <row r="8" spans="1:6" x14ac:dyDescent="0.2">
      <c r="A8" t="s">
        <v>165</v>
      </c>
      <c r="B8" s="16">
        <f>-'4_Kosten'!B14</f>
        <v>-313000</v>
      </c>
      <c r="C8" s="16">
        <f>-'4_Kosten'!C14</f>
        <v>-720000</v>
      </c>
      <c r="D8" s="16">
        <f>-'4_Kosten'!D14</f>
        <v>-1170000</v>
      </c>
      <c r="E8" s="16">
        <f>-'4_Kosten'!E14</f>
        <v>-1512000</v>
      </c>
      <c r="F8" s="16">
        <f>-'4_Kosten'!F14</f>
        <v>-1670000</v>
      </c>
    </row>
    <row r="9" spans="1:6" x14ac:dyDescent="0.2">
      <c r="A9" s="2" t="s">
        <v>166</v>
      </c>
      <c r="B9" s="14">
        <f>B6+B8</f>
        <v>-370635.13500000001</v>
      </c>
      <c r="C9" s="14">
        <f>C6+C8</f>
        <v>-750001.82125000004</v>
      </c>
      <c r="D9" s="14">
        <f>D6+D8</f>
        <v>-780817.86700000009</v>
      </c>
      <c r="E9" s="14">
        <f>E6+E8</f>
        <v>326984.90699999966</v>
      </c>
      <c r="F9" s="14">
        <f>F6+F8</f>
        <v>3266385.5219999999</v>
      </c>
    </row>
    <row r="10" spans="1:6" x14ac:dyDescent="0.2">
      <c r="A10" t="s">
        <v>167</v>
      </c>
      <c r="B10" s="21">
        <f>IFERROR(B9/B4,0)</f>
        <v>-3.8164561087370643</v>
      </c>
      <c r="C10" s="21">
        <f>IFERROR(C9/C4,0)</f>
        <v>-1.4047181018558623</v>
      </c>
      <c r="D10" s="21">
        <f>IFERROR(D9/D4,0)</f>
        <v>-0.42183045105328248</v>
      </c>
      <c r="E10" s="21">
        <f>IFERROR(E9/E4,0)</f>
        <v>7.1312853241187857E-2</v>
      </c>
      <c r="F10" s="21">
        <f>IFERROR(F9/F4,0)</f>
        <v>0.37649465166367713</v>
      </c>
    </row>
    <row r="12" spans="1:6" x14ac:dyDescent="0.2">
      <c r="A12" s="23" t="s">
        <v>168</v>
      </c>
      <c r="B12" s="24"/>
      <c r="C12" s="24"/>
      <c r="D12" s="24"/>
      <c r="E12" s="24"/>
      <c r="F12" s="24"/>
    </row>
    <row r="13" spans="1:6" x14ac:dyDescent="0.2">
      <c r="A13" s="9" t="s">
        <v>169</v>
      </c>
      <c r="B13" s="10">
        <f>B9</f>
        <v>-370635.13500000001</v>
      </c>
      <c r="C13" s="10">
        <f>B13+C9</f>
        <v>-1120636.95625</v>
      </c>
      <c r="D13" s="10">
        <f>C13+D9</f>
        <v>-1901454.8232500001</v>
      </c>
      <c r="E13" s="10">
        <f>D13+E9</f>
        <v>-1574469.9162500005</v>
      </c>
      <c r="F13" s="10">
        <f>E13+F9</f>
        <v>1691915.6057499994</v>
      </c>
    </row>
    <row r="14" spans="1:6" x14ac:dyDescent="0.2">
      <c r="A14" t="s">
        <v>170</v>
      </c>
      <c r="B14" s="7">
        <v>1750000</v>
      </c>
      <c r="C14" s="7">
        <v>0</v>
      </c>
      <c r="D14" s="7">
        <v>5000000</v>
      </c>
      <c r="E14" s="7">
        <v>0</v>
      </c>
      <c r="F14" s="7">
        <v>0</v>
      </c>
    </row>
    <row r="15" spans="1:6" x14ac:dyDescent="0.2">
      <c r="A15" s="9" t="s">
        <v>171</v>
      </c>
      <c r="B15" s="10">
        <f>B14</f>
        <v>1750000</v>
      </c>
      <c r="C15" s="10">
        <f>B15+C14</f>
        <v>1750000</v>
      </c>
      <c r="D15" s="10">
        <f>C15+D14</f>
        <v>6750000</v>
      </c>
      <c r="E15" s="10">
        <f>D15+E14</f>
        <v>6750000</v>
      </c>
      <c r="F15" s="10">
        <f>E15+F14</f>
        <v>6750000</v>
      </c>
    </row>
    <row r="16" spans="1:6" x14ac:dyDescent="0.2">
      <c r="A16" s="9" t="s">
        <v>172</v>
      </c>
      <c r="B16" s="10">
        <f>B15+B13</f>
        <v>1379364.865</v>
      </c>
      <c r="C16" s="10">
        <f>C15+C13</f>
        <v>629363.04374999995</v>
      </c>
      <c r="D16" s="10">
        <f>D15+D13</f>
        <v>4848545.1767499996</v>
      </c>
      <c r="E16" s="10">
        <f>E15+E13</f>
        <v>5175530.0837499993</v>
      </c>
      <c r="F16" s="10">
        <f>F15+F13</f>
        <v>8441915.6057500001</v>
      </c>
    </row>
    <row r="18" spans="1:6" x14ac:dyDescent="0.2">
      <c r="A18" s="23" t="s">
        <v>173</v>
      </c>
      <c r="B18" s="24"/>
      <c r="C18" s="24"/>
      <c r="D18" s="24"/>
      <c r="E18" s="24"/>
      <c r="F18" s="24"/>
    </row>
    <row r="19" spans="1:6" x14ac:dyDescent="0.2">
      <c r="A19" s="9" t="s">
        <v>174</v>
      </c>
      <c r="B19" s="10">
        <f>IFERROR(-B8/IFERROR(B6/B4,0),0)</f>
        <v>-527403.90041595278</v>
      </c>
      <c r="C19" s="10">
        <f>IFERROR(-C8/IFERROR(C6/C4,0),0)</f>
        <v>-12813212.13124685</v>
      </c>
      <c r="D19" s="10">
        <f>IFERROR(-D8/IFERROR(D6/D4,0),0)</f>
        <v>5564738.7851692578</v>
      </c>
      <c r="E19" s="10">
        <f>IFERROR(-E8/IFERROR(E6/E4,0),0)</f>
        <v>3769932.030225195</v>
      </c>
      <c r="F19" s="10">
        <f>IFERROR(-F8/IFERROR(F6/F4,0),0)</f>
        <v>2935053.5681276959</v>
      </c>
    </row>
    <row r="20" spans="1:6" x14ac:dyDescent="0.2">
      <c r="A20" t="s">
        <v>175</v>
      </c>
      <c r="B20" s="16">
        <f>B4</f>
        <v>97115</v>
      </c>
      <c r="C20" s="16">
        <f>C4</f>
        <v>533916.25</v>
      </c>
      <c r="D20" s="16">
        <f>D4</f>
        <v>1851023</v>
      </c>
      <c r="E20" s="16">
        <f>E4</f>
        <v>4585217</v>
      </c>
      <c r="F20" s="16">
        <f>F4</f>
        <v>8675782</v>
      </c>
    </row>
    <row r="21" spans="1:6" x14ac:dyDescent="0.2">
      <c r="A21" t="s">
        <v>176</v>
      </c>
      <c r="B21" s="10">
        <f>B4-B19</f>
        <v>624518.90041595278</v>
      </c>
      <c r="C21" s="10">
        <f>C4-C19</f>
        <v>13347128.38124685</v>
      </c>
      <c r="D21" s="10">
        <f>D4-D19</f>
        <v>-3713715.7851692578</v>
      </c>
      <c r="E21" s="10">
        <f>E4-E19</f>
        <v>815284.96977480501</v>
      </c>
      <c r="F21" s="10">
        <f>F4-F19</f>
        <v>5740728.4318723045</v>
      </c>
    </row>
    <row r="23" spans="1:6" x14ac:dyDescent="0.2">
      <c r="A23" s="9" t="s">
        <v>177</v>
      </c>
      <c r="B23" s="9" t="str">
        <f>IFERROR("Jahr "&amp;MATCH(TRUE,B9:F9&gt;0,0),"nach Jahr 5")</f>
        <v>nach Jahr 5</v>
      </c>
    </row>
  </sheetData>
  <mergeCells count="3">
    <mergeCell ref="A1:F1"/>
    <mergeCell ref="A12:F12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="97" zoomScaleNormal="97"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7" width="16" customWidth="1"/>
  </cols>
  <sheetData>
    <row r="1" spans="1:6" x14ac:dyDescent="0.2">
      <c r="A1" s="25" t="s">
        <v>178</v>
      </c>
      <c r="B1" s="24"/>
      <c r="C1" s="24"/>
      <c r="D1" s="24"/>
      <c r="E1" s="24"/>
      <c r="F1" s="24"/>
    </row>
    <row r="3" spans="1:6" x14ac:dyDescent="0.2">
      <c r="A3" s="9" t="s">
        <v>179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</row>
    <row r="4" spans="1:6" x14ac:dyDescent="0.2">
      <c r="A4" s="9" t="s">
        <v>161</v>
      </c>
      <c r="B4" s="16">
        <f>'6_GuV_Breakeven'!B4</f>
        <v>97115</v>
      </c>
      <c r="C4" s="16">
        <f>'6_GuV_Breakeven'!C4</f>
        <v>533916.25</v>
      </c>
      <c r="D4" s="16">
        <f>'6_GuV_Breakeven'!D4</f>
        <v>1851023</v>
      </c>
      <c r="E4" s="16">
        <f>'6_GuV_Breakeven'!E4</f>
        <v>4585217</v>
      </c>
      <c r="F4" s="16">
        <f>'6_GuV_Breakeven'!F4</f>
        <v>8675782</v>
      </c>
    </row>
    <row r="5" spans="1:6" x14ac:dyDescent="0.2">
      <c r="A5" s="9" t="s">
        <v>180</v>
      </c>
      <c r="B5" s="16">
        <f>'4_Kosten'!B14</f>
        <v>313000</v>
      </c>
      <c r="C5" s="16">
        <f>'4_Kosten'!C14</f>
        <v>720000</v>
      </c>
      <c r="D5" s="16">
        <f>'4_Kosten'!D14</f>
        <v>1170000</v>
      </c>
      <c r="E5" s="16">
        <f>'4_Kosten'!E14</f>
        <v>1512000</v>
      </c>
      <c r="F5" s="16">
        <f>'4_Kosten'!F14</f>
        <v>1670000</v>
      </c>
    </row>
    <row r="6" spans="1:6" x14ac:dyDescent="0.2">
      <c r="A6" s="9" t="s">
        <v>181</v>
      </c>
      <c r="B6" s="16">
        <f>'5_Umsatz_Prognose'!B33</f>
        <v>154750.13500000001</v>
      </c>
      <c r="C6" s="16">
        <f>'5_Umsatz_Prognose'!C33</f>
        <v>563918.07125000004</v>
      </c>
      <c r="D6" s="16">
        <f>'5_Umsatz_Prognose'!D33</f>
        <v>1461840.8670000001</v>
      </c>
      <c r="E6" s="16">
        <f>'5_Umsatz_Prognose'!E33</f>
        <v>2746232.0930000003</v>
      </c>
      <c r="F6" s="16">
        <f>'5_Umsatz_Prognose'!F33</f>
        <v>3739396.4780000001</v>
      </c>
    </row>
    <row r="7" spans="1:6" x14ac:dyDescent="0.2">
      <c r="A7" s="9" t="s">
        <v>182</v>
      </c>
      <c r="B7" s="16">
        <f>'4_Kosten'!B26</f>
        <v>467750.13500000001</v>
      </c>
      <c r="C7" s="16">
        <f>'4_Kosten'!C26</f>
        <v>1283918.07125</v>
      </c>
      <c r="D7" s="16">
        <f>'4_Kosten'!D26</f>
        <v>2631840.8670000001</v>
      </c>
      <c r="E7" s="16">
        <f>'4_Kosten'!E26</f>
        <v>4258232.0930000003</v>
      </c>
      <c r="F7" s="16">
        <f>'4_Kosten'!F26</f>
        <v>5409396.4780000001</v>
      </c>
    </row>
    <row r="8" spans="1:6" x14ac:dyDescent="0.2">
      <c r="A8" s="9" t="s">
        <v>166</v>
      </c>
      <c r="B8" s="16">
        <f>'6_GuV_Breakeven'!B9</f>
        <v>-370635.13500000001</v>
      </c>
      <c r="C8" s="16">
        <f>'6_GuV_Breakeven'!C9</f>
        <v>-750001.82125000004</v>
      </c>
      <c r="D8" s="16">
        <f>'6_GuV_Breakeven'!D9</f>
        <v>-780817.86700000009</v>
      </c>
      <c r="E8" s="16">
        <f>'6_GuV_Breakeven'!E9</f>
        <v>326984.90699999966</v>
      </c>
      <c r="F8" s="16">
        <f>'6_GuV_Breakeven'!F9</f>
        <v>3266385.5219999999</v>
      </c>
    </row>
    <row r="9" spans="1:6" x14ac:dyDescent="0.2">
      <c r="A9" s="9" t="s">
        <v>169</v>
      </c>
      <c r="B9" s="16">
        <f>'6_GuV_Breakeven'!B13</f>
        <v>-370635.13500000001</v>
      </c>
      <c r="C9" s="16">
        <f>'6_GuV_Breakeven'!C13</f>
        <v>-1120636.95625</v>
      </c>
      <c r="D9" s="16">
        <f>'6_GuV_Breakeven'!D13</f>
        <v>-1901454.8232500001</v>
      </c>
      <c r="E9" s="16">
        <f>'6_GuV_Breakeven'!E13</f>
        <v>-1574469.9162500005</v>
      </c>
      <c r="F9" s="16">
        <f>'6_GuV_Breakeven'!F13</f>
        <v>1691915.6057499994</v>
      </c>
    </row>
    <row r="10" spans="1:6" x14ac:dyDescent="0.2">
      <c r="A10" s="9" t="s">
        <v>183</v>
      </c>
      <c r="B10" s="16">
        <f>'6_GuV_Breakeven'!B16</f>
        <v>1379364.865</v>
      </c>
      <c r="C10" s="16">
        <f>'6_GuV_Breakeven'!C16</f>
        <v>629363.04374999995</v>
      </c>
      <c r="D10" s="16">
        <f>'6_GuV_Breakeven'!D16</f>
        <v>4848545.1767499996</v>
      </c>
      <c r="E10" s="16">
        <f>'6_GuV_Breakeven'!E16</f>
        <v>5175530.0837499993</v>
      </c>
      <c r="F10" s="16">
        <f>'6_GuV_Breakeven'!F16</f>
        <v>8441915.6057500001</v>
      </c>
    </row>
    <row r="11" spans="1:6" x14ac:dyDescent="0.2">
      <c r="A11" s="9" t="s">
        <v>184</v>
      </c>
      <c r="B11" s="16">
        <f>'6_GuV_Breakeven'!B19</f>
        <v>-527403.90041595278</v>
      </c>
      <c r="C11" s="16">
        <f>'6_GuV_Breakeven'!C19</f>
        <v>-12813212.13124685</v>
      </c>
      <c r="D11" s="16">
        <f>'6_GuV_Breakeven'!D19</f>
        <v>5564738.7851692578</v>
      </c>
      <c r="E11" s="16">
        <f>'6_GuV_Breakeven'!E19</f>
        <v>3769932.030225195</v>
      </c>
      <c r="F11" s="16">
        <f>'6_GuV_Breakeven'!F19</f>
        <v>2935053.5681276959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1_Annahmen</vt:lpstr>
      <vt:lpstr>2_Pricing</vt:lpstr>
      <vt:lpstr>3_Investment</vt:lpstr>
      <vt:lpstr>4_Kosten</vt:lpstr>
      <vt:lpstr>5_Umsatz_Prognose</vt:lpstr>
      <vt:lpstr>6_GuV_Breakeven</vt:lpstr>
      <vt:lpstr>7_Verlauf_Charts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Ekkehart Padberg</cp:lastModifiedBy>
  <dcterms:created xsi:type="dcterms:W3CDTF">2026-04-07T09:28:11Z</dcterms:created>
  <dcterms:modified xsi:type="dcterms:W3CDTF">2026-06-12T18:42:03Z</dcterms:modified>
</cp:coreProperties>
</file>