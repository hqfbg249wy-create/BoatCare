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"/>
    </mc:Choice>
  </mc:AlternateContent>
  <xr:revisionPtr revIDLastSave="0" documentId="13_ncr:1_{FB79B030-85E2-FC46-A32C-57B73ACDA679}" xr6:coauthVersionLast="47" xr6:coauthVersionMax="47" xr10:uidLastSave="{00000000-0000-0000-0000-000000000000}"/>
  <bookViews>
    <workbookView xWindow="0" yWindow="740" windowWidth="30240" windowHeight="17760" activeTab="2" xr2:uid="{00000000-000D-0000-FFFF-FFFF00000000}"/>
  </bookViews>
  <sheets>
    <sheet name="1_Annahmen" sheetId="1" r:id="rId1"/>
    <sheet name="2_Pricing" sheetId="2" r:id="rId2"/>
    <sheet name="3_Investment" sheetId="3" r:id="rId3"/>
    <sheet name="4_Kosten" sheetId="4" r:id="rId4"/>
    <sheet name="5_Umsatz_Prognose (2)" sheetId="10" r:id="rId5"/>
    <sheet name="5_Umsatz_Prognose" sheetId="5" r:id="rId6"/>
    <sheet name="6_GuV_Breakeven" sheetId="6" r:id="rId7"/>
    <sheet name="7_Verlauf_Charts" sheetId="7" r:id="rId8"/>
    <sheet name="8_Bewertung" sheetId="8" r:id="rId9"/>
    <sheet name="9_Beteiligung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0" l="1"/>
  <c r="B32" i="10"/>
  <c r="C30" i="10"/>
  <c r="B30" i="10"/>
  <c r="C26" i="10"/>
  <c r="B26" i="10"/>
  <c r="C15" i="10"/>
  <c r="B15" i="10"/>
  <c r="C7" i="10"/>
  <c r="C9" i="10" s="1"/>
  <c r="B7" i="10"/>
  <c r="B9" i="10" s="1"/>
  <c r="C6" i="10"/>
  <c r="C8" i="10" s="1"/>
  <c r="B6" i="10"/>
  <c r="B8" i="10" s="1"/>
  <c r="B32" i="5"/>
  <c r="B31" i="5"/>
  <c r="B30" i="5"/>
  <c r="B28" i="5"/>
  <c r="B27" i="5"/>
  <c r="B26" i="5"/>
  <c r="B17" i="4" s="1"/>
  <c r="D21" i="4"/>
  <c r="E21" i="4"/>
  <c r="F21" i="4"/>
  <c r="F8" i="4"/>
  <c r="D8" i="4"/>
  <c r="E8" i="4"/>
  <c r="C8" i="4"/>
  <c r="B8" i="4"/>
  <c r="B21" i="5"/>
  <c r="B20" i="5"/>
  <c r="B18" i="5"/>
  <c r="B25" i="9"/>
  <c r="B27" i="9" s="1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3" i="9"/>
  <c r="B13" i="9"/>
  <c r="C13" i="9" s="1"/>
  <c r="D12" i="9"/>
  <c r="B12" i="9"/>
  <c r="C12" i="9" s="1"/>
  <c r="D11" i="9"/>
  <c r="C11" i="9"/>
  <c r="B11" i="9"/>
  <c r="D10" i="9"/>
  <c r="B10" i="9"/>
  <c r="C10" i="9" s="1"/>
  <c r="D9" i="9"/>
  <c r="C9" i="9"/>
  <c r="B9" i="9"/>
  <c r="D8" i="9"/>
  <c r="C8" i="9"/>
  <c r="B8" i="9"/>
  <c r="B22" i="8"/>
  <c r="E15" i="6"/>
  <c r="D15" i="6"/>
  <c r="C15" i="6"/>
  <c r="B15" i="6"/>
  <c r="E8" i="6"/>
  <c r="F32" i="5"/>
  <c r="E32" i="5"/>
  <c r="D32" i="5"/>
  <c r="C32" i="5"/>
  <c r="F30" i="5"/>
  <c r="E30" i="5"/>
  <c r="D30" i="5"/>
  <c r="C30" i="5"/>
  <c r="C21" i="4" s="1"/>
  <c r="F26" i="5"/>
  <c r="E26" i="5"/>
  <c r="D26" i="5"/>
  <c r="D17" i="4" s="1"/>
  <c r="C26" i="5"/>
  <c r="C17" i="4" s="1"/>
  <c r="F15" i="5"/>
  <c r="E15" i="5"/>
  <c r="D15" i="5"/>
  <c r="C15" i="5"/>
  <c r="B15" i="5"/>
  <c r="F9" i="5"/>
  <c r="F7" i="5"/>
  <c r="E7" i="5"/>
  <c r="E9" i="5" s="1"/>
  <c r="D7" i="5"/>
  <c r="D9" i="5" s="1"/>
  <c r="C7" i="5"/>
  <c r="C9" i="5" s="1"/>
  <c r="B7" i="5"/>
  <c r="B9" i="5" s="1"/>
  <c r="F6" i="5"/>
  <c r="F8" i="5" s="1"/>
  <c r="F10" i="5" s="1"/>
  <c r="E6" i="5"/>
  <c r="E8" i="5" s="1"/>
  <c r="D6" i="5"/>
  <c r="D8" i="5" s="1"/>
  <c r="D10" i="5" s="1"/>
  <c r="C6" i="5"/>
  <c r="C8" i="5" s="1"/>
  <c r="B6" i="5"/>
  <c r="B8" i="5" s="1"/>
  <c r="B10" i="5" s="1"/>
  <c r="F23" i="4"/>
  <c r="E23" i="4"/>
  <c r="D23" i="4"/>
  <c r="C23" i="4"/>
  <c r="B23" i="4"/>
  <c r="B21" i="4"/>
  <c r="F17" i="4"/>
  <c r="E17" i="4"/>
  <c r="F14" i="4"/>
  <c r="F8" i="6" s="1"/>
  <c r="E14" i="4"/>
  <c r="E5" i="7" s="1"/>
  <c r="D14" i="4"/>
  <c r="D5" i="7" s="1"/>
  <c r="C14" i="4"/>
  <c r="C8" i="6" s="1"/>
  <c r="B14" i="4"/>
  <c r="B8" i="6" s="1"/>
  <c r="H11" i="4"/>
  <c r="C22" i="3"/>
  <c r="F14" i="3"/>
  <c r="E14" i="3"/>
  <c r="D14" i="3"/>
  <c r="C14" i="3"/>
  <c r="B14" i="3"/>
  <c r="B15" i="3" s="1"/>
  <c r="D14" i="2"/>
  <c r="D13" i="2"/>
  <c r="D12" i="2"/>
  <c r="B25" i="2" s="1"/>
  <c r="B19" i="5" s="1"/>
  <c r="D11" i="2"/>
  <c r="D7" i="2"/>
  <c r="D6" i="2"/>
  <c r="B24" i="2" s="1"/>
  <c r="D5" i="2"/>
  <c r="C15" i="3" l="1"/>
  <c r="D15" i="3" s="1"/>
  <c r="E15" i="3" s="1"/>
  <c r="F15" i="3" s="1"/>
  <c r="D19" i="5"/>
  <c r="C19" i="5"/>
  <c r="E19" i="5"/>
  <c r="C19" i="10"/>
  <c r="F19" i="5"/>
  <c r="B19" i="10"/>
  <c r="B10" i="10"/>
  <c r="C10" i="10"/>
  <c r="F5" i="7"/>
  <c r="D8" i="6"/>
  <c r="C5" i="7"/>
  <c r="C10" i="5"/>
  <c r="D31" i="5"/>
  <c r="D22" i="4" s="1"/>
  <c r="D27" i="5"/>
  <c r="D18" i="4" s="1"/>
  <c r="D20" i="5"/>
  <c r="D18" i="5"/>
  <c r="D21" i="5"/>
  <c r="B22" i="4"/>
  <c r="C31" i="5"/>
  <c r="C22" i="4" s="1"/>
  <c r="C27" i="5"/>
  <c r="C18" i="4" s="1"/>
  <c r="C20" i="5"/>
  <c r="C18" i="5"/>
  <c r="C21" i="5"/>
  <c r="F31" i="5"/>
  <c r="F22" i="4" s="1"/>
  <c r="F27" i="5"/>
  <c r="F18" i="4" s="1"/>
  <c r="F20" i="5"/>
  <c r="F18" i="5"/>
  <c r="F21" i="5"/>
  <c r="E10" i="5"/>
  <c r="B5" i="7"/>
  <c r="F15" i="6"/>
  <c r="B26" i="9"/>
  <c r="C31" i="10" l="1"/>
  <c r="C18" i="10"/>
  <c r="C21" i="10"/>
  <c r="C27" i="10"/>
  <c r="C20" i="10"/>
  <c r="B21" i="10"/>
  <c r="B31" i="10"/>
  <c r="B20" i="10"/>
  <c r="B18" i="10"/>
  <c r="B27" i="10"/>
  <c r="B19" i="4"/>
  <c r="B23" i="5"/>
  <c r="B29" i="5" s="1"/>
  <c r="D23" i="5"/>
  <c r="D28" i="5"/>
  <c r="B18" i="4"/>
  <c r="C23" i="5"/>
  <c r="C28" i="5"/>
  <c r="E31" i="5"/>
  <c r="E22" i="4" s="1"/>
  <c r="E27" i="5"/>
  <c r="E20" i="5"/>
  <c r="E18" i="5"/>
  <c r="E21" i="5"/>
  <c r="F23" i="5"/>
  <c r="F28" i="5"/>
  <c r="B23" i="10" l="1"/>
  <c r="B29" i="10" s="1"/>
  <c r="B28" i="10"/>
  <c r="C28" i="10"/>
  <c r="C23" i="10"/>
  <c r="C29" i="10" s="1"/>
  <c r="C29" i="5"/>
  <c r="C20" i="4" s="1"/>
  <c r="C4" i="6"/>
  <c r="F19" i="4"/>
  <c r="F29" i="5"/>
  <c r="F20" i="4" s="1"/>
  <c r="B13" i="8"/>
  <c r="F4" i="6"/>
  <c r="D19" i="4"/>
  <c r="E23" i="5"/>
  <c r="E28" i="5"/>
  <c r="E19" i="4" s="1"/>
  <c r="D29" i="5"/>
  <c r="D20" i="4" s="1"/>
  <c r="D4" i="6"/>
  <c r="B4" i="6"/>
  <c r="B20" i="4"/>
  <c r="B24" i="4" s="1"/>
  <c r="B26" i="4" s="1"/>
  <c r="B7" i="7" s="1"/>
  <c r="E18" i="4"/>
  <c r="C19" i="4"/>
  <c r="C24" i="4" s="1"/>
  <c r="C26" i="4" s="1"/>
  <c r="C7" i="7" s="1"/>
  <c r="C33" i="5"/>
  <c r="C33" i="10" l="1"/>
  <c r="B33" i="10"/>
  <c r="D24" i="4"/>
  <c r="D26" i="4" s="1"/>
  <c r="D7" i="7" s="1"/>
  <c r="B33" i="5"/>
  <c r="B6" i="7" s="1"/>
  <c r="D4" i="7"/>
  <c r="D20" i="6"/>
  <c r="F33" i="5"/>
  <c r="F24" i="4"/>
  <c r="F26" i="4" s="1"/>
  <c r="F7" i="7" s="1"/>
  <c r="F4" i="7"/>
  <c r="F20" i="6"/>
  <c r="D29" i="8"/>
  <c r="B29" i="8"/>
  <c r="E31" i="8"/>
  <c r="C29" i="8"/>
  <c r="D31" i="8"/>
  <c r="B17" i="8"/>
  <c r="C31" i="8"/>
  <c r="E28" i="8"/>
  <c r="B31" i="8"/>
  <c r="D28" i="8"/>
  <c r="E30" i="8"/>
  <c r="C28" i="8"/>
  <c r="D30" i="8"/>
  <c r="B28" i="8"/>
  <c r="C30" i="8"/>
  <c r="B30" i="8"/>
  <c r="E29" i="8"/>
  <c r="B4" i="7"/>
  <c r="B20" i="6"/>
  <c r="E29" i="5"/>
  <c r="E4" i="6"/>
  <c r="C4" i="7"/>
  <c r="C20" i="6"/>
  <c r="C6" i="7"/>
  <c r="C5" i="6"/>
  <c r="C6" i="6" s="1"/>
  <c r="D33" i="5"/>
  <c r="B5" i="6" l="1"/>
  <c r="B6" i="6" s="1"/>
  <c r="B9" i="6" s="1"/>
  <c r="C9" i="6"/>
  <c r="C7" i="6"/>
  <c r="C19" i="6"/>
  <c r="F6" i="7"/>
  <c r="F5" i="6"/>
  <c r="F6" i="6" s="1"/>
  <c r="E4" i="7"/>
  <c r="E20" i="6"/>
  <c r="E20" i="4"/>
  <c r="E24" i="4" s="1"/>
  <c r="E26" i="4" s="1"/>
  <c r="E7" i="7" s="1"/>
  <c r="E33" i="5"/>
  <c r="D6" i="7"/>
  <c r="D5" i="6"/>
  <c r="D6" i="6" s="1"/>
  <c r="B19" i="6"/>
  <c r="B7" i="6" l="1"/>
  <c r="B11" i="7"/>
  <c r="B21" i="6"/>
  <c r="B10" i="6"/>
  <c r="B8" i="7"/>
  <c r="B23" i="6"/>
  <c r="B13" i="6"/>
  <c r="F9" i="6"/>
  <c r="F7" i="6"/>
  <c r="F19" i="6"/>
  <c r="D9" i="6"/>
  <c r="D7" i="6"/>
  <c r="D19" i="6"/>
  <c r="C11" i="7"/>
  <c r="C21" i="6"/>
  <c r="E5" i="6"/>
  <c r="E6" i="6" s="1"/>
  <c r="E6" i="7"/>
  <c r="C8" i="7"/>
  <c r="C10" i="6"/>
  <c r="F11" i="7" l="1"/>
  <c r="F21" i="6"/>
  <c r="F8" i="7"/>
  <c r="B14" i="8"/>
  <c r="B18" i="8" s="1"/>
  <c r="B19" i="8" s="1"/>
  <c r="B23" i="8" s="1"/>
  <c r="F10" i="6"/>
  <c r="C13" i="6"/>
  <c r="B16" i="6"/>
  <c r="B10" i="7" s="1"/>
  <c r="B9" i="7"/>
  <c r="E9" i="6"/>
  <c r="E7" i="6"/>
  <c r="E19" i="6"/>
  <c r="D8" i="7"/>
  <c r="D10" i="6"/>
  <c r="D11" i="7"/>
  <c r="D21" i="6"/>
  <c r="B39" i="8" l="1"/>
  <c r="B24" i="8"/>
  <c r="C39" i="8"/>
  <c r="E8" i="7"/>
  <c r="E10" i="6"/>
  <c r="D13" i="6"/>
  <c r="C9" i="7"/>
  <c r="C16" i="6"/>
  <c r="C10" i="7" s="1"/>
  <c r="E11" i="7"/>
  <c r="E21" i="6"/>
  <c r="E13" i="6" l="1"/>
  <c r="D9" i="7"/>
  <c r="D16" i="6"/>
  <c r="D10" i="7" s="1"/>
  <c r="F13" i="6" l="1"/>
  <c r="E9" i="7"/>
  <c r="E16" i="6"/>
  <c r="E10" i="7" s="1"/>
  <c r="F9" i="7" l="1"/>
  <c r="F16" i="6"/>
  <c r="F10" i="7" s="1"/>
</calcChain>
</file>

<file path=xl/sharedStrings.xml><?xml version="1.0" encoding="utf-8"?>
<sst xmlns="http://schemas.openxmlformats.org/spreadsheetml/2006/main" count="320" uniqueCount="258">
  <si>
    <t>PRICING-STRATEGIE: Privat-User &amp; Service-Provider</t>
  </si>
  <si>
    <t>Privat-User (B2C, Freemium)</t>
  </si>
  <si>
    <t>Tier</t>
  </si>
  <si>
    <t>Preis/Monat</t>
  </si>
  <si>
    <t>Preis/Jahr</t>
  </si>
  <si>
    <t>Ø Blended €/Mon</t>
  </si>
  <si>
    <t>Zielgruppe</t>
  </si>
  <si>
    <t>Free</t>
  </si>
  <si>
    <t>Einsteiger / Lead-Gen</t>
  </si>
  <si>
    <t>Skipily Plus</t>
  </si>
  <si>
    <t>Hobby-Skipper, 1-2 Boote</t>
  </si>
  <si>
    <t>Skipily Pro</t>
  </si>
  <si>
    <t>Eigner-Profis, Mehrboot, Charterer</t>
  </si>
  <si>
    <t>Service-Provider (B2B SaaS + Provisionen)</t>
  </si>
  <si>
    <t>Inhalte</t>
  </si>
  <si>
    <t>Basic Listing</t>
  </si>
  <si>
    <t>Verifiziertes Profil, Map-Pin (Lead-Gen)</t>
  </si>
  <si>
    <t>Provider Starter</t>
  </si>
  <si>
    <t>Foto-Galerie, 5 Promos/Mon, Reviews</t>
  </si>
  <si>
    <t>Provider Pro</t>
  </si>
  <si>
    <t>Unlimited Promos, Shop, Analytics, Top-Placement</t>
  </si>
  <si>
    <t>Provider Enterprise</t>
  </si>
  <si>
    <t>Multi-Location, API, White-Label-Widget</t>
  </si>
  <si>
    <t>Mix-Annahmen (für Umsatzprognose – änderbar)</t>
  </si>
  <si>
    <t>Anteil zahlende Privat → Plus</t>
  </si>
  <si>
    <t>Anteil zahlende Privat → Pro</t>
  </si>
  <si>
    <t>Anteil Provider → Starter</t>
  </si>
  <si>
    <t>Anteil Provider → Pro</t>
  </si>
  <si>
    <t>Anteil Provider → Enterprise</t>
  </si>
  <si>
    <t>ARPU/Monat zahlender Privat-User</t>
  </si>
  <si>
    <t>ARPU/Monat zahlender Provider</t>
  </si>
  <si>
    <t>SKIPILY – Marktannahmen &amp; Modellparameter (gelbe Zellen = Inputs)</t>
  </si>
  <si>
    <t>Markt</t>
  </si>
  <si>
    <t>Adressierbare Bootseigner DACH</t>
  </si>
  <si>
    <t>BVWW / ADAC</t>
  </si>
  <si>
    <t>Adressierbare Bootseigner EU+UK</t>
  </si>
  <si>
    <t>ICOMIA 2023</t>
  </si>
  <si>
    <t>Service-Provider DACH</t>
  </si>
  <si>
    <t>Marinas, Werften, Sailmaker, Rigger, Chandlery</t>
  </si>
  <si>
    <t>Service-Provider EU</t>
  </si>
  <si>
    <t>ICOMIA</t>
  </si>
  <si>
    <t>Marktdurchdringung Ziel Jahr 5 (Privat)</t>
  </si>
  <si>
    <t>1.2% – ambitioniert</t>
  </si>
  <si>
    <t>User-Konversion</t>
  </si>
  <si>
    <t>Free → Plus Konversionsrate</t>
  </si>
  <si>
    <t>Strava 4-6%, Komoot 3-5%</t>
  </si>
  <si>
    <t>Free → Pro Konversionsrate</t>
  </si>
  <si>
    <t>Power-User</t>
  </si>
  <si>
    <t>Monatliche Churn Privat</t>
  </si>
  <si>
    <t>saisonbedingt</t>
  </si>
  <si>
    <t>Monatliche Churn Provider</t>
  </si>
  <si>
    <t>B2B SaaS Benchmark</t>
  </si>
  <si>
    <t>Akquisitionskosten (CAC)</t>
  </si>
  <si>
    <t>CAC Privat-User (Free)</t>
  </si>
  <si>
    <t>Performance Marketing</t>
  </si>
  <si>
    <t>CAC Privat-User (Paid Conversion)</t>
  </si>
  <si>
    <t>Blended</t>
  </si>
  <si>
    <t>CAC Service-Provider</t>
  </si>
  <si>
    <t>Outbound Sales + Field</t>
  </si>
  <si>
    <t>Variable Pro-User-Kosten / Monat</t>
  </si>
  <si>
    <t>Cloud/Storage pro aktivem User (€/Monat)</t>
  </si>
  <si>
    <t>Supabase + S3 + Maps</t>
  </si>
  <si>
    <t>Support-Kosten pro zahlendem User (€/Monat)</t>
  </si>
  <si>
    <t>Tickets + Tooling</t>
  </si>
  <si>
    <t>App Store Gebühr Jahr 1</t>
  </si>
  <si>
    <t>Apple/Google Standard</t>
  </si>
  <si>
    <t>App Store Gebühr ab Jahr 2</t>
  </si>
  <si>
    <t>Apple Small Business</t>
  </si>
  <si>
    <t>Payment-Provider-Gebühr (%)</t>
  </si>
  <si>
    <t>Stripe</t>
  </si>
  <si>
    <t>Shop-Provision auf vermittelte Käufe</t>
  </si>
  <si>
    <t>10%</t>
  </si>
  <si>
    <t>Buchungs-Provision auf Marina/Service</t>
  </si>
  <si>
    <t>5%</t>
  </si>
  <si>
    <t>HINWEIS: Alle gelben Zellen sind Annahmen – einfach ändern, das gesamte Modell rechnet automatisch nach.</t>
  </si>
  <si>
    <t>INVESTMENT-PLAN (Kapitalbedarf Seed → Series A)</t>
  </si>
  <si>
    <t>Position / Phase</t>
  </si>
  <si>
    <t>Jahr 1</t>
  </si>
  <si>
    <t>Jahr 2</t>
  </si>
  <si>
    <t>Jahr 3</t>
  </si>
  <si>
    <t>Jahr 4</t>
  </si>
  <si>
    <t>Jahr 5</t>
  </si>
  <si>
    <t>Phase</t>
  </si>
  <si>
    <t>MVP &amp; Launch</t>
  </si>
  <si>
    <t>Scale DACH</t>
  </si>
  <si>
    <t>EU-Rollout</t>
  </si>
  <si>
    <t>Konsolidierung</t>
  </si>
  <si>
    <t>Profit</t>
  </si>
  <si>
    <t>Produktentwicklung (iOS, Backend, Web)</t>
  </si>
  <si>
    <t>Design &amp; UX</t>
  </si>
  <si>
    <t>Cloud, Tools, Lizenzen, Software</t>
  </si>
  <si>
    <t>Marketing &amp; User-Akquise</t>
  </si>
  <si>
    <t>Sales (Outbound Provider-Akquise)</t>
  </si>
  <si>
    <t>Operations / Support</t>
  </si>
  <si>
    <t>Legal, IP, Compliance, GDPR</t>
  </si>
  <si>
    <t>Office, Reise, Sonstiges</t>
  </si>
  <si>
    <t>Buffer / Contingency 10%</t>
  </si>
  <si>
    <t>Investment p.a. (€)</t>
  </si>
  <si>
    <t>Kumuliert (€)</t>
  </si>
  <si>
    <t>FINANZIERUNGS-ROUNDS (typisch)</t>
  </si>
  <si>
    <t>Round</t>
  </si>
  <si>
    <t>Zeitpunkt</t>
  </si>
  <si>
    <t>Volumen (€)</t>
  </si>
  <si>
    <t>Pre-Seed (Bootstrap + Angels)</t>
  </si>
  <si>
    <t>Q1 Jahr 1</t>
  </si>
  <si>
    <t>Seed Round</t>
  </si>
  <si>
    <t>Q4 Jahr 1</t>
  </si>
  <si>
    <t>Series A</t>
  </si>
  <si>
    <t>Q2 Jahr 3</t>
  </si>
  <si>
    <t>Summe Funding</t>
  </si>
  <si>
    <t>FIXE &amp; VARIABLE BETRIEBSKOSTEN (Jahr 1 – 5)</t>
  </si>
  <si>
    <t>Position</t>
  </si>
  <si>
    <t>FIX-KOSTEN (€/Jahr)</t>
  </si>
  <si>
    <t>Personal Engineering (FTE)</t>
  </si>
  <si>
    <t>Personal Sales/Marketing (FTE)</t>
  </si>
  <si>
    <t>Personal Operations/Support (FTE)</t>
  </si>
  <si>
    <t>Geschäftsführung</t>
  </si>
  <si>
    <t>Büro, Co-Working</t>
  </si>
  <si>
    <t>Software-Tools (Supabase, Google-API,GitHub Ent., Claude)</t>
  </si>
  <si>
    <t>Legal, Buchhaltung, Steuerberatung</t>
  </si>
  <si>
    <t>Versicherungen (D&amp;O, Cyber)</t>
  </si>
  <si>
    <t>Marketing-Fixum (SEO, Content, PR)</t>
  </si>
  <si>
    <t>Σ Fix-Kosten</t>
  </si>
  <si>
    <t>VARIABLE KOSTEN (€/Jahr) – verlinkt aus Umsatzprognose</t>
  </si>
  <si>
    <t>Cloud / Hosting / Storage</t>
  </si>
  <si>
    <t>Customer Support</t>
  </si>
  <si>
    <t>App-Store-Gebühren (Apple/Google)</t>
  </si>
  <si>
    <t>Payment-Provider-Gebühren</t>
  </si>
  <si>
    <t>Performance-Marketing CAC Free</t>
  </si>
  <si>
    <t>Aufschlag CAC Paid Conversion</t>
  </si>
  <si>
    <t>Sales-CAC Provider</t>
  </si>
  <si>
    <t>Σ Variable Kosten</t>
  </si>
  <si>
    <t>GESAMT-KOSTEN (Fix + Variabel)</t>
  </si>
  <si>
    <t>UMSATZPROGNOSE 5 JAHRE</t>
  </si>
  <si>
    <t>Kennzahl</t>
  </si>
  <si>
    <t>USER-FUNNEL Privat</t>
  </si>
  <si>
    <t>Free MAU (Jahresende)</t>
  </si>
  <si>
    <t>Konversion → Plus</t>
  </si>
  <si>
    <t>Konversion → Pro</t>
  </si>
  <si>
    <t>Zahlende User Plus</t>
  </si>
  <si>
    <t>Zahlende User Pro</t>
  </si>
  <si>
    <t>Σ Zahlende Privat-User</t>
  </si>
  <si>
    <t>PROVIDER-FUNNEL</t>
  </si>
  <si>
    <t>Aktive Provider (gesamt, EOY)</t>
  </si>
  <si>
    <t>Anteil zahlend (Starter+Pro+Ent)</t>
  </si>
  <si>
    <t>Σ Zahlende Provider</t>
  </si>
  <si>
    <t>UMSATZ-STRÖME (€/Jahr)</t>
  </si>
  <si>
    <t>Abo-Umsatz Privat</t>
  </si>
  <si>
    <t>Abo-Umsatz Provider</t>
  </si>
  <si>
    <t>Shop-Provisionen (10%)</t>
  </si>
  <si>
    <t>Buchungs-Provisionen (5%)</t>
  </si>
  <si>
    <t>Sponsored Placements / Ads</t>
  </si>
  <si>
    <t>GESAMTUMSATZ</t>
  </si>
  <si>
    <t>VARIABLE KOSTEN-DETAIL (€/Jahr)</t>
  </si>
  <si>
    <t>Cloud-Kosten</t>
  </si>
  <si>
    <t>Support-Kosten</t>
  </si>
  <si>
    <t>App-Store-Gebühren</t>
  </si>
  <si>
    <t>Payment-Gebühren</t>
  </si>
  <si>
    <t>CAC Privat (Performance-Marketing, neue Free-User × CAC Free)</t>
  </si>
  <si>
    <t>CAC-Aufschlag Paid Conversion (zahlende User × Paid-CAC Aufschlag)</t>
  </si>
  <si>
    <t>CAC Provider (Sales)</t>
  </si>
  <si>
    <t>GEWINN- &amp; VERLUSTRECHNUNG + BREAKEVEN-ANALYSE</t>
  </si>
  <si>
    <t>Umsatz</t>
  </si>
  <si>
    <t>(-) Variable Kosten</t>
  </si>
  <si>
    <t>Deckungsbeitrag</t>
  </si>
  <si>
    <t>DB-Marge</t>
  </si>
  <si>
    <t>(-) Fixkosten</t>
  </si>
  <si>
    <t>EBITDA</t>
  </si>
  <si>
    <t>EBITDA-Marge</t>
  </si>
  <si>
    <t>KAPITALFLUSS &amp; BREAKEVEN</t>
  </si>
  <si>
    <t>Kumulierter EBITDA</t>
  </si>
  <si>
    <t>Funding-Zufluss</t>
  </si>
  <si>
    <t>Funding (kumuliert)</t>
  </si>
  <si>
    <t>Cash-Bestand (Funding + kum. EBITDA)</t>
  </si>
  <si>
    <t>BREAKEVEN-UMSATZ je Jahr (Fix / DB-Marge)</t>
  </si>
  <si>
    <t>Erforderlicher Umsatz für Breakeven</t>
  </si>
  <si>
    <t>Tatsächlicher Umsatz</t>
  </si>
  <si>
    <t>Δ zu Breakeven</t>
  </si>
  <si>
    <t>Breakeven-Jahr (erstes Jahr mit positivem EBITDA):</t>
  </si>
  <si>
    <t>VERLAUFS-DATEN &amp; DIAGRAMME</t>
  </si>
  <si>
    <t>Jahr</t>
  </si>
  <si>
    <t>Fixkosten</t>
  </si>
  <si>
    <t>Variable Kosten</t>
  </si>
  <si>
    <t>Gesamtkosten</t>
  </si>
  <si>
    <t>Cash-Bestand</t>
  </si>
  <si>
    <t>Breakeven-Umsatz</t>
  </si>
  <si>
    <t>SKIPILY – Unternehmensbewertung (VC-Methode + Multiples)</t>
  </si>
  <si>
    <t>Verknüpft mit Tab 5 (Umsatz) &amp; Tab 6 (EBITDA). Gelb = Inputs, grün = Querverweis.</t>
  </si>
  <si>
    <t>INPUT-ANNAHMEN (änderbar)</t>
  </si>
  <si>
    <t>Exit-Multiple auf Umsatz (J5)</t>
  </si>
  <si>
    <t>Marktplatz/SaaS 3–6x; konservativ 4x</t>
  </si>
  <si>
    <t>Exit-Multiple auf EBITDA (J5)</t>
  </si>
  <si>
    <t>Profit. SaaS 10–18x</t>
  </si>
  <si>
    <t>Gewichtung Umsatz-Methode</t>
  </si>
  <si>
    <t>Rest = EBITDA-Methode</t>
  </si>
  <si>
    <t>Ziel-IRR Investor (Seed-Risiko)</t>
  </si>
  <si>
    <t>früh: 40–60%</t>
  </si>
  <si>
    <t>Jahre bis Exit</t>
  </si>
  <si>
    <t>Ende Planungshorizont</t>
  </si>
  <si>
    <t>Verwässerung bis Exit (Folgerunden)</t>
  </si>
  <si>
    <t>Seed+Series A; Rest bleibt heutigen Anteilen</t>
  </si>
  <si>
    <t>KENNZAHLEN JAHR 5 (aus Modell)</t>
  </si>
  <si>
    <t>Umsatz Jahr 5 (€)</t>
  </si>
  <si>
    <t>EBITDA Jahr 5 (€)</t>
  </si>
  <si>
    <t>EXIT-WERT (Jahr 5)</t>
  </si>
  <si>
    <t>Exit-Wert auf Umsatz-Basis (€)</t>
  </si>
  <si>
    <t>Exit-Wert auf EBITDA-Basis (€)</t>
  </si>
  <si>
    <t>Exit-Wert gewichtet (€)</t>
  </si>
  <si>
    <t>VC-METHODE – Wert HEUTE</t>
  </si>
  <si>
    <t>Diskontfaktor (1+IRR)^Jahre</t>
  </si>
  <si>
    <t>Unternehmenswert heute – 100% (€)</t>
  </si>
  <si>
    <t>Wert heutiger Anteile nach Verwässerung (€)</t>
  </si>
  <si>
    <t>SENSITIVITÄT – Unternehmenswert heute (100%, €)</t>
  </si>
  <si>
    <t>IRR ↓ / Exit-Umsatz-Multiple →</t>
  </si>
  <si>
    <t>METHODENVERGLEICH → STARTWERT (pre-launch)</t>
  </si>
  <si>
    <t>Methode</t>
  </si>
  <si>
    <t>von (€)</t>
  </si>
  <si>
    <t>bis (€)</t>
  </si>
  <si>
    <t>Substanzwert (Reproduktion Produkt)</t>
  </si>
  <si>
    <t>Quelle: Modell J1 Produkt+Design ~265k</t>
  </si>
  <si>
    <t>Berkus / Scorecard (pre-launch)</t>
  </si>
  <si>
    <t>fertiges Produkt senkt Tech-Risiko</t>
  </si>
  <si>
    <t>DE-Pre-Seed Marktvergleich</t>
  </si>
  <si>
    <t>fertiges Produkt, kein Umsatz</t>
  </si>
  <si>
    <t>VC-Methode (heute, 100%)</t>
  </si>
  <si>
    <t>±20% um VC-Wert oben</t>
  </si>
  <si>
    <t>EMPFOHLENER STARTWERT (Pre-Money)</t>
  </si>
  <si>
    <t>Synthese: oberes Drittel DE-Pre-Seed wg. fertigem Produkt</t>
  </si>
  <si>
    <t>WERTKURVE BEI ZIELERREICHUNG</t>
  </si>
  <si>
    <t>Meilenstein</t>
  </si>
  <si>
    <t>Pre-Money von</t>
  </si>
  <si>
    <t>bis</t>
  </si>
  <si>
    <t>Heute (fertiges Produkt, pre-launch)</t>
  </si>
  <si>
    <t>Ende J1 – Seed (erste zahlende Kunden)</t>
  </si>
  <si>
    <t>J3 – Series A (1,85M Umsatz)</t>
  </si>
  <si>
    <t>J5 – Exit-Fenster (8,68M Umsatz, 38% EBITDA)</t>
  </si>
  <si>
    <t>HINWEIS: Bewertung ist keine Garantie. Werte hängen an den (gelben) Annahmen und an</t>
  </si>
  <si>
    <t>tatsächlicher Traction. Pre-launch zahlt ein Investor den Startwert, nicht den VC-Methoden-Wert.</t>
  </si>
  <si>
    <t>SKIPILY – Beteiligungsrechner (was kostet ein Anteil?)</t>
  </si>
  <si>
    <t>Investment = Pre-Money × Anteil ÷ (1−Anteil) · Post-Money = Pre-Money + Investment</t>
  </si>
  <si>
    <t>Angesetzte Pre-Money-Bewertung (€)</t>
  </si>
  <si>
    <t>Mittelwert Startwert aus Tab 8 (1,2–1,8M) — änderbar</t>
  </si>
  <si>
    <t>A) Was kostet welcher Anteil?</t>
  </si>
  <si>
    <t>Anteil für Investor</t>
  </si>
  <si>
    <t>Investment (€)</t>
  </si>
  <si>
    <t>Post-Money (€)</t>
  </si>
  <si>
    <t>Gründer danach</t>
  </si>
  <si>
    <t>B) Was bekommt der Investor für X €?</t>
  </si>
  <si>
    <t>Anteil %</t>
  </si>
  <si>
    <t>REALITÄTS-CHECK: geplante Seed-Runde</t>
  </si>
  <si>
    <t>Seed-Volumen aus Tab 3 (€)</t>
  </si>
  <si>
    <t>Quelle: Tab 3, Seed Round Q4 J1</t>
  </si>
  <si>
    <t>→ Anteil bei dieser Pre-Money</t>
  </si>
  <si>
    <t>→ Post-Money</t>
  </si>
  <si>
    <t>FAUSTREGEL: Seed-Investoren wollen 10–25%. Mehr als ~25–30% Abgabe</t>
  </si>
  <si>
    <t>in einer frühen Runde schreckt spätere Investoren ab (zu wenig Gründer-Anteil).</t>
  </si>
  <si>
    <t>Lösung bei zu hoher Verwässerung: weniger raisen ODER höhere Pre-Money verhandeln.</t>
  </si>
  <si>
    <t>UMSATZPROGNOSE 2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</si>
</sst>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;\(0.0%\);\-"/>
    <numFmt numFmtId="166" formatCode="&quot;€&quot;#,##0;\(&quot;€&quot;#,##0\);\-"/>
    <numFmt numFmtId="167" formatCode="&quot;€&quot;#,##0.00;\(&quot;€&quot;#,##0.00\);\-"/>
    <numFmt numFmtId="168" formatCode="0.0&quot;x&quot;"/>
    <numFmt numFmtId="169" formatCode="0.0%"/>
    <numFmt numFmtId="170" formatCode="#,##0\ &quot;€&quot;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b/>
      <i/>
      <sz val="11"/>
      <color rgb="FFC00000"/>
      <name val="Arial"/>
      <family val="2"/>
    </font>
    <font>
      <i/>
      <sz val="11"/>
      <name val="Calibri"/>
      <family val="2"/>
    </font>
    <font>
      <sz val="11"/>
      <color rgb="FF008000"/>
      <name val="Arial"/>
      <family val="2"/>
    </font>
    <font>
      <b/>
      <sz val="13"/>
      <name val="Arial"/>
      <family val="2"/>
    </font>
    <font>
      <i/>
      <sz val="11"/>
      <color rgb="FF666666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888888"/>
      <name val="Arial"/>
      <family val="2"/>
    </font>
    <font>
      <sz val="11"/>
      <color rgb="FF008000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i/>
      <sz val="11"/>
      <color rgb="FFB45309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0B1D3A"/>
      </patternFill>
    </fill>
    <fill>
      <patternFill patternType="solid">
        <fgColor rgb="FFFFFF0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4" fillId="4" borderId="0" xfId="0" applyNumberFormat="1" applyFont="1" applyFill="1"/>
    <xf numFmtId="0" fontId="5" fillId="0" borderId="0" xfId="0" applyFont="1"/>
    <xf numFmtId="165" fontId="4" fillId="4" borderId="0" xfId="0" applyNumberFormat="1" applyFont="1" applyFill="1"/>
    <xf numFmtId="166" fontId="4" fillId="4" borderId="0" xfId="0" applyNumberFormat="1" applyFont="1" applyFill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3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wrapText="1"/>
    </xf>
    <xf numFmtId="166" fontId="2" fillId="3" borderId="0" xfId="0" applyNumberFormat="1" applyFont="1" applyFill="1"/>
    <xf numFmtId="0" fontId="0" fillId="0" borderId="0" xfId="0" applyAlignment="1">
      <alignment horizontal="center"/>
    </xf>
    <xf numFmtId="166" fontId="8" fillId="0" borderId="0" xfId="0" applyNumberFormat="1" applyFont="1"/>
    <xf numFmtId="166" fontId="1" fillId="2" borderId="0" xfId="0" applyNumberFormat="1" applyFont="1" applyFill="1"/>
    <xf numFmtId="165" fontId="8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center"/>
    </xf>
    <xf numFmtId="167" fontId="4" fillId="4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5" borderId="0" xfId="0" applyFont="1" applyFill="1"/>
    <xf numFmtId="0" fontId="12" fillId="0" borderId="0" xfId="0" applyFont="1"/>
    <xf numFmtId="168" fontId="13" fillId="6" borderId="0" xfId="0" applyNumberFormat="1" applyFont="1" applyFill="1"/>
    <xf numFmtId="0" fontId="14" fillId="0" borderId="0" xfId="0" applyFont="1"/>
    <xf numFmtId="169" fontId="13" fillId="6" borderId="0" xfId="0" applyNumberFormat="1" applyFont="1" applyFill="1"/>
    <xf numFmtId="1" fontId="13" fillId="6" borderId="0" xfId="0" applyNumberFormat="1" applyFont="1" applyFill="1"/>
    <xf numFmtId="170" fontId="15" fillId="0" borderId="0" xfId="0" applyNumberFormat="1" applyFont="1"/>
    <xf numFmtId="170" fontId="12" fillId="0" borderId="0" xfId="0" applyNumberFormat="1" applyFont="1"/>
    <xf numFmtId="0" fontId="16" fillId="0" borderId="0" xfId="0" applyFont="1"/>
    <xf numFmtId="170" fontId="16" fillId="7" borderId="0" xfId="0" applyNumberFormat="1" applyFont="1" applyFill="1"/>
    <xf numFmtId="2" fontId="12" fillId="0" borderId="0" xfId="0" applyNumberFormat="1" applyFont="1"/>
    <xf numFmtId="0" fontId="16" fillId="7" borderId="0" xfId="0" applyFont="1" applyFill="1"/>
    <xf numFmtId="168" fontId="17" fillId="6" borderId="0" xfId="0" applyNumberFormat="1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170" fontId="17" fillId="6" borderId="0" xfId="0" applyNumberFormat="1" applyFont="1" applyFill="1"/>
    <xf numFmtId="0" fontId="18" fillId="0" borderId="0" xfId="0" applyFont="1"/>
    <xf numFmtId="0" fontId="19" fillId="5" borderId="0" xfId="0" applyFont="1" applyFill="1"/>
    <xf numFmtId="169" fontId="12" fillId="0" borderId="0" xfId="0" applyNumberFormat="1" applyFont="1"/>
    <xf numFmtId="170" fontId="13" fillId="6" borderId="0" xfId="0" applyNumberFormat="1" applyFont="1" applyFill="1"/>
    <xf numFmtId="169" fontId="16" fillId="7" borderId="0" xfId="0" applyNumberFormat="1" applyFon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Umsatz vs. Gesamtkosten vs. Breakeven-Umsatz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'7_Verlauf_Charts'!$A$4</c:f>
              <c:strCache>
                <c:ptCount val="1"/>
                <c:pt idx="0">
                  <c:v>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'7_Verlauf_Charts'!$B$4:$F$4</c:f>
              <c:numCache>
                <c:formatCode>"€"#,##0;\("€"#,##0\);\-</c:formatCode>
                <c:ptCount val="5"/>
                <c:pt idx="0">
                  <c:v>43820.35</c:v>
                </c:pt>
                <c:pt idx="1">
                  <c:v>299834.125</c:v>
                </c:pt>
                <c:pt idx="2">
                  <c:v>1093959.5</c:v>
                </c:pt>
                <c:pt idx="3">
                  <c:v>4204490.5</c:v>
                </c:pt>
                <c:pt idx="4">
                  <c:v>8019599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9B-C94E-A373-3EA19208852E}"/>
            </c:ext>
          </c:extLst>
        </c:ser>
        <c:ser>
          <c:idx val="1"/>
          <c:order val="1"/>
          <c:tx>
            <c:strRef>
              <c:f>'7_Verlauf_Charts'!$A$7</c:f>
              <c:strCache>
                <c:ptCount val="1"/>
                <c:pt idx="0">
                  <c:v>Gesamtkosten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'7_Verlauf_Charts'!$B$7:$F$7</c:f>
              <c:numCache>
                <c:formatCode>"€"#,##0;\("€"#,##0\);\-</c:formatCode>
                <c:ptCount val="5"/>
                <c:pt idx="0">
                  <c:v>128848.845075</c:v>
                </c:pt>
                <c:pt idx="1">
                  <c:v>367448.98962499999</c:v>
                </c:pt>
                <c:pt idx="2">
                  <c:v>1015570.8255</c:v>
                </c:pt>
                <c:pt idx="3">
                  <c:v>3515191.0245000003</c:v>
                </c:pt>
                <c:pt idx="4">
                  <c:v>3964367.1710000001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9B-C94E-A373-3EA19208852E}"/>
            </c:ext>
          </c:extLst>
        </c:ser>
        <c:ser>
          <c:idx val="2"/>
          <c:order val="2"/>
          <c:tx>
            <c:strRef>
              <c:f>'7_Verlauf_Charts'!$A$11</c:f>
              <c:strCache>
                <c:ptCount val="1"/>
                <c:pt idx="0">
                  <c:v>Breakeven-Umsatz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'7_Verlauf_Charts'!$B$11:$F$11</c:f>
              <c:numCache>
                <c:formatCode>"€"#,##0;\("€"#,##0\);\-</c:formatCode>
                <c:ptCount val="5"/>
                <c:pt idx="0">
                  <c:v>-84535.543219165629</c:v>
                </c:pt>
                <c:pt idx="1">
                  <c:v>736897.49902988155</c:v>
                </c:pt>
                <c:pt idx="2">
                  <c:v>754189.75664060563</c:v>
                </c:pt>
                <c:pt idx="3">
                  <c:v>1003170.7435800898</c:v>
                </c:pt>
                <c:pt idx="4">
                  <c:v>455146.92713259591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9B-C94E-A373-3EA19208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EBITDA &amp; kumulierter EBITDA (Breakeven beim Schnitt mit 0-Linie)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'7_Verlauf_Charts'!$A$8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'7_Verlauf_Charts'!$B$8:$F$8</c:f>
              <c:numCache>
                <c:formatCode>"€"#,##0;\("€"#,##0\);\-</c:formatCode>
                <c:ptCount val="5"/>
                <c:pt idx="0">
                  <c:v>-85028.495075000013</c:v>
                </c:pt>
                <c:pt idx="1">
                  <c:v>-67614.864624999987</c:v>
                </c:pt>
                <c:pt idx="2">
                  <c:v>78388.674499999965</c:v>
                </c:pt>
                <c:pt idx="3">
                  <c:v>689299.47549999971</c:v>
                </c:pt>
                <c:pt idx="4">
                  <c:v>4055231.8289999999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47-8C4F-8769-AA0FD288EA19}"/>
            </c:ext>
          </c:extLst>
        </c:ser>
        <c:ser>
          <c:idx val="1"/>
          <c:order val="1"/>
          <c:tx>
            <c:strRef>
              <c:f>'7_Verlauf_Charts'!$A$9</c:f>
              <c:strCache>
                <c:ptCount val="1"/>
                <c:pt idx="0">
                  <c:v>Kumulierter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'7_Verlauf_Charts'!$B$9:$F$9</c:f>
              <c:numCache>
                <c:formatCode>"€"#,##0;\("€"#,##0\);\-</c:formatCode>
                <c:ptCount val="5"/>
                <c:pt idx="0">
                  <c:v>-85028.495075000013</c:v>
                </c:pt>
                <c:pt idx="1">
                  <c:v>-152643.3597</c:v>
                </c:pt>
                <c:pt idx="2">
                  <c:v>-74254.685200000036</c:v>
                </c:pt>
                <c:pt idx="3">
                  <c:v>615044.79029999964</c:v>
                </c:pt>
                <c:pt idx="4">
                  <c:v>4670276.6192999994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47-8C4F-8769-AA0FD288E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Liquiditätsverlauf (Funding + kum. EBITDA)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'7_Verlauf_Charts'!$A$10</c:f>
              <c:strCache>
                <c:ptCount val="1"/>
                <c:pt idx="0">
                  <c:v>Cash-Bestand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'7_Verlauf_Charts'!$B$10:$F$10</c:f>
              <c:numCache>
                <c:formatCode>"€"#,##0;\("€"#,##0\);\-</c:formatCode>
                <c:ptCount val="5"/>
                <c:pt idx="0">
                  <c:v>1664971.504925</c:v>
                </c:pt>
                <c:pt idx="1">
                  <c:v>1597356.6403000001</c:v>
                </c:pt>
                <c:pt idx="2">
                  <c:v>6675745.3147999998</c:v>
                </c:pt>
                <c:pt idx="3">
                  <c:v>7365044.7902999995</c:v>
                </c:pt>
                <c:pt idx="4">
                  <c:v>11420276.6193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5B-AB43-A85E-CAB97FF77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Kostenstruktur Fix vs. Variabel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'7_Verlauf_Charts'!$A$5</c:f>
              <c:strCache>
                <c:ptCount val="1"/>
                <c:pt idx="0">
                  <c:v>Fixkosten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'7_Verlauf_Charts'!$B$5:$F$5</c:f>
              <c:numCache>
                <c:formatCode>"€"#,##0;\("€"#,##0\);\-</c:formatCode>
                <c:ptCount val="5"/>
                <c:pt idx="0">
                  <c:v>56000</c:v>
                </c:pt>
                <c:pt idx="1">
                  <c:v>114000</c:v>
                </c:pt>
                <c:pt idx="2">
                  <c:v>174000</c:v>
                </c:pt>
                <c:pt idx="3">
                  <c:v>216000</c:v>
                </c:pt>
                <c:pt idx="4">
                  <c:v>244000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2-0041-A5BD-EAED40A17DA9}"/>
            </c:ext>
          </c:extLst>
        </c:ser>
        <c:ser>
          <c:idx val="1"/>
          <c:order val="1"/>
          <c:tx>
            <c:strRef>
              <c:f>'7_Verlauf_Charts'!$A$6</c:f>
              <c:strCache>
                <c:ptCount val="1"/>
                <c:pt idx="0">
                  <c:v>Variable 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'7_Verlauf_Charts'!$B$6:$F$6</c:f>
              <c:numCache>
                <c:formatCode>"€"#,##0;\("€"#,##0\);\-</c:formatCode>
                <c:ptCount val="5"/>
                <c:pt idx="0">
                  <c:v>72848.845075000005</c:v>
                </c:pt>
                <c:pt idx="1">
                  <c:v>253448.98962499999</c:v>
                </c:pt>
                <c:pt idx="2">
                  <c:v>841570.82550000004</c:v>
                </c:pt>
                <c:pt idx="3">
                  <c:v>3299191.0245000003</c:v>
                </c:pt>
                <c:pt idx="4">
                  <c:v>3720367.1710000001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2-0041-A5BD-EAED40A17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79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3" zoomScale="121" zoomScaleNormal="121" workbookViewId="0">
      <selection activeCell="B15" sqref="B15"/>
    </sheetView>
  </sheetViews>
  <sheetFormatPr baseColWidth="10" defaultColWidth="8.83203125" defaultRowHeight="15" x14ac:dyDescent="0.2"/>
  <cols>
    <col min="1" max="1" width="52" customWidth="1"/>
    <col min="2" max="2" width="18" customWidth="1"/>
    <col min="3" max="3" width="60" customWidth="1"/>
  </cols>
  <sheetData>
    <row r="1" spans="1:3" x14ac:dyDescent="0.2">
      <c r="A1" s="46" t="s">
        <v>31</v>
      </c>
      <c r="B1" s="47"/>
      <c r="C1" s="47"/>
    </row>
    <row r="3" spans="1:3" x14ac:dyDescent="0.2">
      <c r="A3" s="48" t="s">
        <v>32</v>
      </c>
      <c r="B3" s="47"/>
      <c r="C3" s="47"/>
    </row>
    <row r="4" spans="1:3" x14ac:dyDescent="0.2">
      <c r="A4" s="3" t="s">
        <v>33</v>
      </c>
      <c r="B4" s="4">
        <v>500000</v>
      </c>
      <c r="C4" s="5" t="s">
        <v>34</v>
      </c>
    </row>
    <row r="5" spans="1:3" x14ac:dyDescent="0.2">
      <c r="A5" s="3" t="s">
        <v>35</v>
      </c>
      <c r="B5" s="4">
        <v>6000000</v>
      </c>
      <c r="C5" s="5" t="s">
        <v>36</v>
      </c>
    </row>
    <row r="6" spans="1:3" x14ac:dyDescent="0.2">
      <c r="A6" s="3" t="s">
        <v>37</v>
      </c>
      <c r="B6" s="4">
        <v>2600</v>
      </c>
      <c r="C6" s="5" t="s">
        <v>38</v>
      </c>
    </row>
    <row r="7" spans="1:3" x14ac:dyDescent="0.2">
      <c r="A7" s="3" t="s">
        <v>39</v>
      </c>
      <c r="B7" s="4">
        <v>5000</v>
      </c>
      <c r="C7" s="5" t="s">
        <v>40</v>
      </c>
    </row>
    <row r="8" spans="1:3" x14ac:dyDescent="0.2">
      <c r="A8" s="3" t="s">
        <v>41</v>
      </c>
      <c r="B8" s="6">
        <v>1.2E-2</v>
      </c>
      <c r="C8" s="5" t="s">
        <v>42</v>
      </c>
    </row>
    <row r="10" spans="1:3" x14ac:dyDescent="0.2">
      <c r="A10" s="48" t="s">
        <v>43</v>
      </c>
      <c r="B10" s="47"/>
      <c r="C10" s="47"/>
    </row>
    <row r="11" spans="1:3" x14ac:dyDescent="0.2">
      <c r="A11" s="3" t="s">
        <v>44</v>
      </c>
      <c r="B11" s="6">
        <v>0.04</v>
      </c>
      <c r="C11" s="5" t="s">
        <v>45</v>
      </c>
    </row>
    <row r="12" spans="1:3" x14ac:dyDescent="0.2">
      <c r="A12" s="3" t="s">
        <v>46</v>
      </c>
      <c r="B12" s="6">
        <v>0.01</v>
      </c>
      <c r="C12" s="5" t="s">
        <v>47</v>
      </c>
    </row>
    <row r="13" spans="1:3" x14ac:dyDescent="0.2">
      <c r="A13" s="3" t="s">
        <v>48</v>
      </c>
      <c r="B13" s="6">
        <v>0.03</v>
      </c>
      <c r="C13" s="5" t="s">
        <v>49</v>
      </c>
    </row>
    <row r="14" spans="1:3" x14ac:dyDescent="0.2">
      <c r="A14" s="3" t="s">
        <v>50</v>
      </c>
      <c r="B14" s="6">
        <v>0.02</v>
      </c>
      <c r="C14" s="5" t="s">
        <v>51</v>
      </c>
    </row>
    <row r="16" spans="1:3" x14ac:dyDescent="0.2">
      <c r="A16" s="48" t="s">
        <v>52</v>
      </c>
      <c r="B16" s="47"/>
      <c r="C16" s="47"/>
    </row>
    <row r="17" spans="1:3" x14ac:dyDescent="0.2">
      <c r="A17" s="3" t="s">
        <v>53</v>
      </c>
      <c r="B17" s="7">
        <v>4</v>
      </c>
      <c r="C17" s="5" t="s">
        <v>54</v>
      </c>
    </row>
    <row r="18" spans="1:3" x14ac:dyDescent="0.2">
      <c r="A18" s="3" t="s">
        <v>55</v>
      </c>
      <c r="B18" s="7">
        <v>18</v>
      </c>
      <c r="C18" s="5" t="s">
        <v>56</v>
      </c>
    </row>
    <row r="19" spans="1:3" x14ac:dyDescent="0.2">
      <c r="A19" s="3" t="s">
        <v>57</v>
      </c>
      <c r="B19" s="7">
        <v>240</v>
      </c>
      <c r="C19" s="5" t="s">
        <v>58</v>
      </c>
    </row>
    <row r="21" spans="1:3" x14ac:dyDescent="0.2">
      <c r="A21" s="48" t="s">
        <v>59</v>
      </c>
      <c r="B21" s="47"/>
      <c r="C21" s="47"/>
    </row>
    <row r="22" spans="1:3" x14ac:dyDescent="0.2">
      <c r="A22" s="3" t="s">
        <v>60</v>
      </c>
      <c r="B22" s="7">
        <v>0.12</v>
      </c>
      <c r="C22" s="5" t="s">
        <v>61</v>
      </c>
    </row>
    <row r="23" spans="1:3" x14ac:dyDescent="0.2">
      <c r="A23" s="3" t="s">
        <v>62</v>
      </c>
      <c r="B23" s="7">
        <v>0.18</v>
      </c>
      <c r="C23" s="5" t="s">
        <v>63</v>
      </c>
    </row>
    <row r="24" spans="1:3" x14ac:dyDescent="0.2">
      <c r="A24" s="3" t="s">
        <v>64</v>
      </c>
      <c r="B24" s="6">
        <v>0.3</v>
      </c>
      <c r="C24" s="5" t="s">
        <v>65</v>
      </c>
    </row>
    <row r="25" spans="1:3" x14ac:dyDescent="0.2">
      <c r="A25" s="3" t="s">
        <v>66</v>
      </c>
      <c r="B25" s="6">
        <v>0.15</v>
      </c>
      <c r="C25" s="5" t="s">
        <v>67</v>
      </c>
    </row>
    <row r="26" spans="1:3" x14ac:dyDescent="0.2">
      <c r="A26" s="3" t="s">
        <v>68</v>
      </c>
      <c r="B26" s="6">
        <v>2.9000000000000001E-2</v>
      </c>
      <c r="C26" s="5" t="s">
        <v>69</v>
      </c>
    </row>
    <row r="27" spans="1:3" x14ac:dyDescent="0.2">
      <c r="A27" s="3" t="s">
        <v>70</v>
      </c>
      <c r="B27" s="6">
        <v>0.1</v>
      </c>
      <c r="C27" s="5" t="s">
        <v>71</v>
      </c>
    </row>
    <row r="28" spans="1:3" x14ac:dyDescent="0.2">
      <c r="A28" s="3" t="s">
        <v>72</v>
      </c>
      <c r="B28" s="6">
        <v>0.05</v>
      </c>
      <c r="C28" s="5" t="s">
        <v>73</v>
      </c>
    </row>
    <row r="30" spans="1:3" x14ac:dyDescent="0.2">
      <c r="A30" s="49" t="s">
        <v>74</v>
      </c>
      <c r="B30" s="47"/>
      <c r="C30" s="47"/>
    </row>
  </sheetData>
  <mergeCells count="6">
    <mergeCell ref="A10:C10"/>
    <mergeCell ref="A1:C1"/>
    <mergeCell ref="A3:C3"/>
    <mergeCell ref="A21:C21"/>
    <mergeCell ref="A30:C30"/>
    <mergeCell ref="A16:C16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="130" zoomScaleNormal="130" workbookViewId="0">
      <selection activeCell="C13" sqref="C13"/>
    </sheetView>
  </sheetViews>
  <sheetFormatPr baseColWidth="10" defaultColWidth="8.83203125" defaultRowHeight="15" x14ac:dyDescent="0.2"/>
  <cols>
    <col min="1" max="1" width="28" customWidth="1"/>
    <col min="2" max="4" width="18" customWidth="1"/>
    <col min="5" max="5" width="40.33203125" bestFit="1" customWidth="1"/>
    <col min="6" max="6" width="18" customWidth="1"/>
  </cols>
  <sheetData>
    <row r="1" spans="1:5" x14ac:dyDescent="0.2">
      <c r="A1" s="46" t="s">
        <v>0</v>
      </c>
      <c r="B1" s="47"/>
      <c r="C1" s="47"/>
      <c r="D1" s="47"/>
      <c r="E1" s="47"/>
    </row>
    <row r="3" spans="1:5" x14ac:dyDescent="0.2">
      <c r="A3" s="48" t="s">
        <v>1</v>
      </c>
      <c r="B3" s="47"/>
      <c r="C3" s="47"/>
      <c r="D3" s="47"/>
      <c r="E3" s="47"/>
    </row>
    <row r="4" spans="1: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">
      <c r="A5" t="s">
        <v>7</v>
      </c>
      <c r="B5" s="23">
        <v>0</v>
      </c>
      <c r="C5" s="23">
        <v>0</v>
      </c>
      <c r="D5" s="8">
        <f>B5*0.6+(C5/12)*0.4</f>
        <v>0</v>
      </c>
      <c r="E5" t="s">
        <v>8</v>
      </c>
    </row>
    <row r="6" spans="1:5" x14ac:dyDescent="0.2">
      <c r="A6" t="s">
        <v>9</v>
      </c>
      <c r="B6" s="23">
        <v>4.99</v>
      </c>
      <c r="C6" s="23">
        <v>49</v>
      </c>
      <c r="D6" s="8">
        <f>B6*0.6+(C6/12)*0.4</f>
        <v>4.6273333333333335</v>
      </c>
      <c r="E6" t="s">
        <v>10</v>
      </c>
    </row>
    <row r="7" spans="1:5" x14ac:dyDescent="0.2">
      <c r="A7" t="s">
        <v>11</v>
      </c>
      <c r="B7" s="23">
        <v>9.99</v>
      </c>
      <c r="C7" s="23">
        <v>99</v>
      </c>
      <c r="D7" s="8">
        <f>B7*0.6+(C7/12)*0.4</f>
        <v>9.2940000000000005</v>
      </c>
      <c r="E7" t="s">
        <v>12</v>
      </c>
    </row>
    <row r="9" spans="1:5" x14ac:dyDescent="0.2">
      <c r="A9" s="48" t="s">
        <v>13</v>
      </c>
      <c r="B9" s="47"/>
      <c r="C9" s="47"/>
      <c r="D9" s="47"/>
      <c r="E9" s="47"/>
    </row>
    <row r="10" spans="1:5" x14ac:dyDescent="0.2">
      <c r="A10" s="2" t="s">
        <v>2</v>
      </c>
      <c r="B10" s="2" t="s">
        <v>3</v>
      </c>
      <c r="C10" s="2" t="s">
        <v>4</v>
      </c>
      <c r="D10" s="2" t="s">
        <v>5</v>
      </c>
      <c r="E10" s="2" t="s">
        <v>14</v>
      </c>
    </row>
    <row r="11" spans="1:5" x14ac:dyDescent="0.2">
      <c r="A11" t="s">
        <v>15</v>
      </c>
      <c r="B11" s="7">
        <v>0</v>
      </c>
      <c r="C11" s="7">
        <v>0</v>
      </c>
      <c r="D11" s="8">
        <f>B11*0.5+(C11/12)*0.5</f>
        <v>0</v>
      </c>
      <c r="E11" t="s">
        <v>16</v>
      </c>
    </row>
    <row r="12" spans="1:5" x14ac:dyDescent="0.2">
      <c r="A12" t="s">
        <v>17</v>
      </c>
      <c r="B12" s="7">
        <v>0</v>
      </c>
      <c r="C12" s="7">
        <v>0</v>
      </c>
      <c r="D12" s="8">
        <f>B12*0.5+(C12/12)*0.5</f>
        <v>0</v>
      </c>
      <c r="E12" t="s">
        <v>18</v>
      </c>
    </row>
    <row r="13" spans="1:5" x14ac:dyDescent="0.2">
      <c r="A13" t="s">
        <v>19</v>
      </c>
      <c r="B13" s="7">
        <v>79</v>
      </c>
      <c r="C13" s="7">
        <v>790</v>
      </c>
      <c r="D13" s="8">
        <f>B13*0.5+(C13/12)*0.5</f>
        <v>72.416666666666657</v>
      </c>
      <c r="E13" t="s">
        <v>20</v>
      </c>
    </row>
    <row r="14" spans="1:5" x14ac:dyDescent="0.2">
      <c r="A14" t="s">
        <v>21</v>
      </c>
      <c r="B14" s="7">
        <v>199</v>
      </c>
      <c r="C14" s="7">
        <v>1990</v>
      </c>
      <c r="D14" s="8">
        <f>B14*0.5+(C14/12)*0.5</f>
        <v>182.41666666666669</v>
      </c>
      <c r="E14" t="s">
        <v>22</v>
      </c>
    </row>
    <row r="17" spans="1:5" x14ac:dyDescent="0.2">
      <c r="A17" s="48" t="s">
        <v>23</v>
      </c>
      <c r="B17" s="47"/>
      <c r="C17" s="47"/>
      <c r="D17" s="47"/>
      <c r="E17" s="47"/>
    </row>
    <row r="18" spans="1:5" x14ac:dyDescent="0.2">
      <c r="A18" t="s">
        <v>24</v>
      </c>
      <c r="B18" s="6">
        <v>0.8</v>
      </c>
    </row>
    <row r="19" spans="1:5" x14ac:dyDescent="0.2">
      <c r="A19" t="s">
        <v>25</v>
      </c>
      <c r="B19" s="6">
        <v>0.2</v>
      </c>
    </row>
    <row r="20" spans="1:5" x14ac:dyDescent="0.2">
      <c r="A20" t="s">
        <v>26</v>
      </c>
      <c r="B20" s="6">
        <v>0.55000000000000004</v>
      </c>
    </row>
    <row r="21" spans="1:5" x14ac:dyDescent="0.2">
      <c r="A21" t="s">
        <v>27</v>
      </c>
      <c r="B21" s="6">
        <v>0.35</v>
      </c>
    </row>
    <row r="22" spans="1:5" x14ac:dyDescent="0.2">
      <c r="A22" t="s">
        <v>28</v>
      </c>
      <c r="B22" s="6">
        <v>0.1</v>
      </c>
    </row>
    <row r="24" spans="1:5" x14ac:dyDescent="0.2">
      <c r="A24" s="9" t="s">
        <v>29</v>
      </c>
      <c r="B24" s="10">
        <f>D6*B18+D7*B19</f>
        <v>5.5606666666666671</v>
      </c>
    </row>
    <row r="25" spans="1:5" x14ac:dyDescent="0.2">
      <c r="A25" s="9" t="s">
        <v>30</v>
      </c>
      <c r="B25" s="10">
        <f>D12*B20+D13*B21+D14*B22</f>
        <v>43.587499999999999</v>
      </c>
    </row>
  </sheetData>
  <mergeCells count="4">
    <mergeCell ref="A1:E1"/>
    <mergeCell ref="A9:E9"/>
    <mergeCell ref="A17:E17"/>
    <mergeCell ref="A3:E3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44" customWidth="1"/>
    <col min="2" max="6" width="16" customWidth="1"/>
  </cols>
  <sheetData>
    <row r="1" spans="1:6" x14ac:dyDescent="0.2">
      <c r="A1" s="46" t="s">
        <v>75</v>
      </c>
      <c r="B1" s="47"/>
      <c r="C1" s="47"/>
      <c r="D1" s="47"/>
      <c r="E1" s="47"/>
      <c r="F1" s="47"/>
    </row>
    <row r="3" spans="1:6" x14ac:dyDescent="0.2">
      <c r="A3" s="2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ht="16" customHeight="1" x14ac:dyDescent="0.2">
      <c r="A4" s="12" t="s">
        <v>82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</row>
    <row r="5" spans="1:6" x14ac:dyDescent="0.2">
      <c r="A5" t="s">
        <v>88</v>
      </c>
      <c r="B5" s="7">
        <v>0</v>
      </c>
      <c r="C5" s="7">
        <v>0</v>
      </c>
      <c r="D5" s="7">
        <v>380000</v>
      </c>
      <c r="E5" s="7">
        <v>420000</v>
      </c>
      <c r="F5" s="7">
        <v>380000</v>
      </c>
    </row>
    <row r="6" spans="1:6" x14ac:dyDescent="0.2">
      <c r="A6" t="s">
        <v>89</v>
      </c>
      <c r="B6" s="7">
        <v>0</v>
      </c>
      <c r="C6" s="7">
        <v>0</v>
      </c>
      <c r="D6" s="7">
        <v>70000</v>
      </c>
      <c r="E6" s="7">
        <v>70000</v>
      </c>
      <c r="F6" s="7">
        <v>60000</v>
      </c>
    </row>
    <row r="7" spans="1:6" x14ac:dyDescent="0.2">
      <c r="A7" t="s">
        <v>90</v>
      </c>
      <c r="B7" s="7">
        <v>18000</v>
      </c>
      <c r="C7" s="7">
        <v>35000</v>
      </c>
      <c r="D7" s="7">
        <v>60000</v>
      </c>
      <c r="E7" s="7">
        <v>90000</v>
      </c>
      <c r="F7" s="7">
        <v>120000</v>
      </c>
    </row>
    <row r="8" spans="1:6" x14ac:dyDescent="0.2">
      <c r="A8" t="s">
        <v>91</v>
      </c>
      <c r="B8" s="7">
        <v>10000</v>
      </c>
      <c r="C8" s="7">
        <v>30000</v>
      </c>
      <c r="D8" s="7">
        <v>350000</v>
      </c>
      <c r="E8" s="7">
        <v>420000</v>
      </c>
      <c r="F8" s="7">
        <v>350000</v>
      </c>
    </row>
    <row r="9" spans="1:6" x14ac:dyDescent="0.2">
      <c r="A9" t="s">
        <v>92</v>
      </c>
      <c r="B9" s="7">
        <v>25000</v>
      </c>
      <c r="C9" s="7">
        <v>90000</v>
      </c>
      <c r="D9" s="7">
        <v>160000</v>
      </c>
      <c r="E9" s="7">
        <v>200000</v>
      </c>
      <c r="F9" s="7">
        <v>180000</v>
      </c>
    </row>
    <row r="10" spans="1:6" x14ac:dyDescent="0.2">
      <c r="A10" t="s">
        <v>93</v>
      </c>
      <c r="B10" s="7">
        <v>20000</v>
      </c>
      <c r="C10" s="7">
        <v>55000</v>
      </c>
      <c r="D10" s="7">
        <v>110000</v>
      </c>
      <c r="E10" s="7">
        <v>160000</v>
      </c>
      <c r="F10" s="7">
        <v>180000</v>
      </c>
    </row>
    <row r="11" spans="1:6" x14ac:dyDescent="0.2">
      <c r="A11" t="s">
        <v>94</v>
      </c>
      <c r="B11" s="7">
        <v>22000</v>
      </c>
      <c r="C11" s="7">
        <v>18000</v>
      </c>
      <c r="D11" s="7">
        <v>25000</v>
      </c>
      <c r="E11" s="7">
        <v>28000</v>
      </c>
      <c r="F11" s="7">
        <v>25000</v>
      </c>
    </row>
    <row r="12" spans="1:6" x14ac:dyDescent="0.2">
      <c r="A12" t="s">
        <v>95</v>
      </c>
      <c r="B12" s="7">
        <v>15000</v>
      </c>
      <c r="C12" s="7">
        <v>22000</v>
      </c>
      <c r="D12" s="7">
        <v>35000</v>
      </c>
      <c r="E12" s="7">
        <v>40000</v>
      </c>
      <c r="F12" s="7">
        <v>40000</v>
      </c>
    </row>
    <row r="13" spans="1:6" x14ac:dyDescent="0.2">
      <c r="A13" t="s">
        <v>96</v>
      </c>
      <c r="B13" s="7">
        <v>42500</v>
      </c>
      <c r="C13" s="7">
        <v>78000</v>
      </c>
      <c r="D13" s="7">
        <v>119000</v>
      </c>
      <c r="E13" s="7">
        <v>142800</v>
      </c>
      <c r="F13" s="7">
        <v>133500</v>
      </c>
    </row>
    <row r="14" spans="1:6" x14ac:dyDescent="0.2">
      <c r="A14" s="2" t="s">
        <v>97</v>
      </c>
      <c r="B14" s="14">
        <f>SUM(B5:B13)</f>
        <v>152500</v>
      </c>
      <c r="C14" s="14">
        <f>SUM(C5:C13)</f>
        <v>328000</v>
      </c>
      <c r="D14" s="14">
        <f>SUM(D5:D13)</f>
        <v>1309000</v>
      </c>
      <c r="E14" s="14">
        <f>SUM(E5:E13)</f>
        <v>1570800</v>
      </c>
      <c r="F14" s="14">
        <f>SUM(F5:F13)</f>
        <v>1468500</v>
      </c>
    </row>
    <row r="15" spans="1:6" x14ac:dyDescent="0.2">
      <c r="A15" s="2" t="s">
        <v>98</v>
      </c>
      <c r="B15" s="14">
        <f>B14</f>
        <v>152500</v>
      </c>
      <c r="C15" s="14">
        <f>B15+C14</f>
        <v>480500</v>
      </c>
      <c r="D15" s="14">
        <f>C15+D14</f>
        <v>1789500</v>
      </c>
      <c r="E15" s="14">
        <f>D15+E14</f>
        <v>3360300</v>
      </c>
      <c r="F15" s="14">
        <f>E15+F14</f>
        <v>4828800</v>
      </c>
    </row>
    <row r="17" spans="1:4" x14ac:dyDescent="0.2">
      <c r="A17" s="46" t="s">
        <v>99</v>
      </c>
      <c r="B17" s="47"/>
      <c r="C17" s="47"/>
      <c r="D17" s="47"/>
    </row>
    <row r="18" spans="1:4" x14ac:dyDescent="0.2">
      <c r="A18" s="9" t="s">
        <v>100</v>
      </c>
      <c r="B18" s="9" t="s">
        <v>101</v>
      </c>
      <c r="C18" s="9" t="s">
        <v>102</v>
      </c>
    </row>
    <row r="19" spans="1:4" x14ac:dyDescent="0.2">
      <c r="A19" t="s">
        <v>103</v>
      </c>
      <c r="B19" s="15" t="s">
        <v>104</v>
      </c>
      <c r="C19" s="7">
        <v>250000</v>
      </c>
    </row>
    <row r="20" spans="1:4" x14ac:dyDescent="0.2">
      <c r="A20" t="s">
        <v>105</v>
      </c>
      <c r="B20" s="15" t="s">
        <v>106</v>
      </c>
      <c r="C20" s="7">
        <v>1500000</v>
      </c>
    </row>
    <row r="21" spans="1:4" x14ac:dyDescent="0.2">
      <c r="A21" t="s">
        <v>107</v>
      </c>
      <c r="B21" s="15" t="s">
        <v>108</v>
      </c>
      <c r="C21" s="7">
        <v>5000000</v>
      </c>
    </row>
    <row r="22" spans="1:4" x14ac:dyDescent="0.2">
      <c r="A22" s="9" t="s">
        <v>109</v>
      </c>
      <c r="C22" s="10">
        <f>SUM(C19:C21)</f>
        <v>6750000</v>
      </c>
    </row>
  </sheetData>
  <mergeCells count="2">
    <mergeCell ref="A17:D17"/>
    <mergeCell ref="A1:F1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8" x14ac:dyDescent="0.2">
      <c r="A1" s="46" t="s">
        <v>110</v>
      </c>
      <c r="B1" s="47"/>
      <c r="C1" s="47"/>
      <c r="D1" s="47"/>
      <c r="E1" s="47"/>
      <c r="F1" s="47"/>
    </row>
    <row r="3" spans="1:8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8" x14ac:dyDescent="0.2">
      <c r="A4" s="48" t="s">
        <v>112</v>
      </c>
      <c r="B4" s="47"/>
      <c r="C4" s="47"/>
      <c r="D4" s="47"/>
      <c r="E4" s="47"/>
      <c r="F4" s="47"/>
    </row>
    <row r="5" spans="1:8" x14ac:dyDescent="0.2">
      <c r="A5" t="s">
        <v>113</v>
      </c>
      <c r="B5" s="7">
        <v>0</v>
      </c>
      <c r="C5" s="7">
        <v>0</v>
      </c>
      <c r="D5" s="7">
        <v>0</v>
      </c>
      <c r="E5" s="7">
        <v>0</v>
      </c>
      <c r="F5" s="7">
        <v>0</v>
      </c>
    </row>
    <row r="6" spans="1:8" x14ac:dyDescent="0.2">
      <c r="A6" t="s">
        <v>114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8" x14ac:dyDescent="0.2">
      <c r="A7" t="s">
        <v>115</v>
      </c>
      <c r="B7" s="7">
        <v>0</v>
      </c>
      <c r="C7" s="7">
        <v>0</v>
      </c>
      <c r="D7" s="7">
        <v>0</v>
      </c>
      <c r="E7" s="7">
        <v>0</v>
      </c>
      <c r="F7" s="7">
        <v>0</v>
      </c>
    </row>
    <row r="8" spans="1:8" x14ac:dyDescent="0.2">
      <c r="A8" t="s">
        <v>116</v>
      </c>
      <c r="B8" s="7">
        <f>2000*6</f>
        <v>12000</v>
      </c>
      <c r="C8" s="7">
        <f>2000*12</f>
        <v>24000</v>
      </c>
      <c r="D8" s="7">
        <f t="shared" ref="D8:E8" si="0">2000*12</f>
        <v>24000</v>
      </c>
      <c r="E8" s="7">
        <f t="shared" si="0"/>
        <v>24000</v>
      </c>
      <c r="F8" s="7">
        <f>2000*12</f>
        <v>24000</v>
      </c>
    </row>
    <row r="9" spans="1:8" x14ac:dyDescent="0.2">
      <c r="A9" t="s">
        <v>117</v>
      </c>
      <c r="B9" s="7">
        <v>9000</v>
      </c>
      <c r="C9" s="7">
        <v>18000</v>
      </c>
      <c r="D9" s="7">
        <v>30000</v>
      </c>
      <c r="E9" s="7">
        <v>36000</v>
      </c>
      <c r="F9" s="7">
        <v>42000</v>
      </c>
    </row>
    <row r="10" spans="1:8" x14ac:dyDescent="0.2">
      <c r="A10" t="s">
        <v>118</v>
      </c>
      <c r="B10" s="7">
        <v>2000</v>
      </c>
      <c r="C10" s="7">
        <v>14000</v>
      </c>
      <c r="D10" s="7">
        <v>22000</v>
      </c>
      <c r="E10" s="7">
        <v>30000</v>
      </c>
      <c r="F10" s="7">
        <v>36000</v>
      </c>
    </row>
    <row r="11" spans="1:8" x14ac:dyDescent="0.2">
      <c r="A11" t="s">
        <v>119</v>
      </c>
      <c r="B11" s="7">
        <v>18000</v>
      </c>
      <c r="C11" s="7">
        <v>22000</v>
      </c>
      <c r="D11" s="7">
        <v>28000</v>
      </c>
      <c r="E11" s="7">
        <v>32000</v>
      </c>
      <c r="F11" s="7">
        <v>36000</v>
      </c>
      <c r="H11" s="7">
        <f>12*20+18*12+25*12</f>
        <v>756</v>
      </c>
    </row>
    <row r="12" spans="1:8" x14ac:dyDescent="0.2">
      <c r="A12" t="s">
        <v>120</v>
      </c>
      <c r="B12" s="7">
        <v>3000</v>
      </c>
      <c r="C12" s="7">
        <v>6000</v>
      </c>
      <c r="D12" s="7">
        <v>10000</v>
      </c>
      <c r="E12" s="7">
        <v>14000</v>
      </c>
      <c r="F12" s="7">
        <v>16000</v>
      </c>
    </row>
    <row r="13" spans="1:8" x14ac:dyDescent="0.2">
      <c r="A13" t="s">
        <v>121</v>
      </c>
      <c r="B13" s="7">
        <v>12000</v>
      </c>
      <c r="C13" s="7">
        <v>30000</v>
      </c>
      <c r="D13" s="7">
        <v>60000</v>
      </c>
      <c r="E13" s="7">
        <v>80000</v>
      </c>
      <c r="F13" s="7">
        <v>90000</v>
      </c>
    </row>
    <row r="14" spans="1:8" x14ac:dyDescent="0.2">
      <c r="A14" s="2" t="s">
        <v>122</v>
      </c>
      <c r="B14" s="14">
        <f>SUM(B5:B13)</f>
        <v>56000</v>
      </c>
      <c r="C14" s="14">
        <f>SUM(C5:C13)</f>
        <v>114000</v>
      </c>
      <c r="D14" s="14">
        <f>SUM(D5:D13)</f>
        <v>174000</v>
      </c>
      <c r="E14" s="14">
        <f>SUM(E5:E13)</f>
        <v>216000</v>
      </c>
      <c r="F14" s="14">
        <f>SUM(F5:F13)</f>
        <v>244000</v>
      </c>
    </row>
    <row r="16" spans="1:8" x14ac:dyDescent="0.2">
      <c r="A16" s="48" t="s">
        <v>123</v>
      </c>
      <c r="B16" s="47"/>
      <c r="C16" s="47"/>
      <c r="D16" s="47"/>
      <c r="E16" s="47"/>
      <c r="F16" s="47"/>
    </row>
    <row r="17" spans="1:6" x14ac:dyDescent="0.2">
      <c r="A17" t="s">
        <v>124</v>
      </c>
      <c r="B17" s="16">
        <f>'5_Umsatz_Prognose'!B26</f>
        <v>10800</v>
      </c>
      <c r="C17" s="16">
        <f>'5_Umsatz_Prognose'!C26</f>
        <v>43200</v>
      </c>
      <c r="D17" s="16">
        <f>'5_Umsatz_Prognose'!D26</f>
        <v>144000</v>
      </c>
      <c r="E17" s="16">
        <f>'5_Umsatz_Prognose'!E26</f>
        <v>691200</v>
      </c>
      <c r="F17" s="16">
        <f>'5_Umsatz_Prognose'!F26</f>
        <v>1123200</v>
      </c>
    </row>
    <row r="18" spans="1:6" x14ac:dyDescent="0.2">
      <c r="A18" t="s">
        <v>125</v>
      </c>
      <c r="B18" s="16">
        <f>'5_Umsatz_Prognose'!B27</f>
        <v>810</v>
      </c>
      <c r="C18" s="16">
        <f>'5_Umsatz_Prognose'!C27</f>
        <v>3240</v>
      </c>
      <c r="D18" s="16">
        <f>'5_Umsatz_Prognose'!D27</f>
        <v>10800</v>
      </c>
      <c r="E18" s="16">
        <f>'5_Umsatz_Prognose'!E27</f>
        <v>51840</v>
      </c>
      <c r="F18" s="16">
        <f>'5_Umsatz_Prognose'!F27</f>
        <v>84240</v>
      </c>
    </row>
    <row r="19" spans="1:6" x14ac:dyDescent="0.2">
      <c r="A19" t="s">
        <v>126</v>
      </c>
      <c r="B19" s="16">
        <f>'5_Umsatz_Prognose'!B28</f>
        <v>3753.45</v>
      </c>
      <c r="C19" s="16">
        <f>'5_Umsatz_Prognose'!C28</f>
        <v>15013.8</v>
      </c>
      <c r="D19" s="16">
        <f>'5_Umsatz_Prognose'!D28</f>
        <v>50046</v>
      </c>
      <c r="E19" s="16">
        <f>'5_Umsatz_Prognose'!E28</f>
        <v>240220.79999999999</v>
      </c>
      <c r="F19" s="16">
        <f>'5_Umsatz_Prognose'!F28</f>
        <v>390358.80000000005</v>
      </c>
    </row>
    <row r="20" spans="1:6" x14ac:dyDescent="0.2">
      <c r="A20" t="s">
        <v>127</v>
      </c>
      <c r="B20" s="16">
        <f>'5_Umsatz_Prognose'!B29</f>
        <v>635.39507500000002</v>
      </c>
      <c r="C20" s="16">
        <f>'5_Umsatz_Prognose'!C29</f>
        <v>8695.1896250000009</v>
      </c>
      <c r="D20" s="16">
        <f>'5_Umsatz_Prognose'!D29</f>
        <v>31724.825500000003</v>
      </c>
      <c r="E20" s="16">
        <f>'5_Umsatz_Prognose'!E29</f>
        <v>121930.22450000001</v>
      </c>
      <c r="F20" s="16">
        <f>'5_Umsatz_Prognose'!F29</f>
        <v>232568.37100000001</v>
      </c>
    </row>
    <row r="21" spans="1:6" x14ac:dyDescent="0.2">
      <c r="A21" t="s">
        <v>128</v>
      </c>
      <c r="B21" s="16">
        <f>'5_Umsatz_Prognose'!B30</f>
        <v>30000</v>
      </c>
      <c r="C21" s="16">
        <f>'5_Umsatz_Prognose'!C30</f>
        <v>60000</v>
      </c>
      <c r="D21" s="16">
        <f>'5_Umsatz_Prognose'!D30</f>
        <v>280000</v>
      </c>
      <c r="E21" s="16">
        <f>'5_Umsatz_Prognose'!E30</f>
        <v>1520000</v>
      </c>
      <c r="F21" s="16">
        <f>'5_Umsatz_Prognose'!F30</f>
        <v>1200000</v>
      </c>
    </row>
    <row r="22" spans="1:6" x14ac:dyDescent="0.2">
      <c r="A22" t="s">
        <v>129</v>
      </c>
      <c r="B22" s="16">
        <f>'5_Umsatz_Prognose'!B31</f>
        <v>5250</v>
      </c>
      <c r="C22" s="16">
        <f>'5_Umsatz_Prognose'!C31</f>
        <v>10500</v>
      </c>
      <c r="D22" s="16">
        <f>'5_Umsatz_Prognose'!D31</f>
        <v>49000</v>
      </c>
      <c r="E22" s="16">
        <f>'5_Umsatz_Prognose'!E31</f>
        <v>266000</v>
      </c>
      <c r="F22" s="16">
        <f>'5_Umsatz_Prognose'!F31</f>
        <v>210000</v>
      </c>
    </row>
    <row r="23" spans="1:6" x14ac:dyDescent="0.2">
      <c r="A23" t="s">
        <v>130</v>
      </c>
      <c r="B23" s="16">
        <f>'5_Umsatz_Prognose'!B32</f>
        <v>21600</v>
      </c>
      <c r="C23" s="16">
        <f>'5_Umsatz_Prognose'!C32</f>
        <v>112800</v>
      </c>
      <c r="D23" s="16">
        <f>'5_Umsatz_Prognose'!D32</f>
        <v>276000</v>
      </c>
      <c r="E23" s="16">
        <f>'5_Umsatz_Prognose'!E32</f>
        <v>408000</v>
      </c>
      <c r="F23" s="16">
        <f>'5_Umsatz_Prognose'!F32</f>
        <v>480000</v>
      </c>
    </row>
    <row r="24" spans="1:6" x14ac:dyDescent="0.2">
      <c r="A24" s="2" t="s">
        <v>131</v>
      </c>
      <c r="B24" s="14">
        <f>SUM(B17:B23)</f>
        <v>72848.845075000005</v>
      </c>
      <c r="C24" s="14">
        <f>SUM(C17:C23)</f>
        <v>253448.98962499999</v>
      </c>
      <c r="D24" s="14">
        <f>SUM(D17:D23)</f>
        <v>841570.82550000004</v>
      </c>
      <c r="E24" s="14">
        <f>SUM(E17:E23)</f>
        <v>3299191.0245000003</v>
      </c>
      <c r="F24" s="14">
        <f>SUM(F17:F23)</f>
        <v>3720367.1710000001</v>
      </c>
    </row>
    <row r="26" spans="1:6" x14ac:dyDescent="0.2">
      <c r="A26" s="1" t="s">
        <v>132</v>
      </c>
      <c r="B26" s="17">
        <f>B14+B24</f>
        <v>128848.845075</v>
      </c>
      <c r="C26" s="17">
        <f>C14+C24</f>
        <v>367448.98962499999</v>
      </c>
      <c r="D26" s="17">
        <f>D14+D24</f>
        <v>1015570.8255</v>
      </c>
      <c r="E26" s="17">
        <f>E14+E24</f>
        <v>3515191.0245000003</v>
      </c>
      <c r="F26" s="17">
        <f>F14+F24</f>
        <v>3964367.1710000001</v>
      </c>
    </row>
  </sheetData>
  <mergeCells count="3">
    <mergeCell ref="A16:F16"/>
    <mergeCell ref="A1:F1"/>
    <mergeCell ref="A4:F4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F7A4-89EF-8648-9BC3-9EA62E5853BF}">
  <dimension ref="A1:C33"/>
  <sheetViews>
    <sheetView topLeftCell="A9" zoomScale="143" zoomScaleNormal="143" workbookViewId="0">
      <selection sqref="A1:C33"/>
    </sheetView>
  </sheetViews>
  <sheetFormatPr baseColWidth="10" defaultColWidth="8.83203125" defaultRowHeight="15" x14ac:dyDescent="0.2"/>
  <cols>
    <col min="1" max="1" width="44" customWidth="1"/>
    <col min="2" max="4" width="16" customWidth="1"/>
  </cols>
  <sheetData>
    <row r="1" spans="1:3" x14ac:dyDescent="0.2">
      <c r="A1" s="46" t="s">
        <v>257</v>
      </c>
      <c r="B1" s="47"/>
      <c r="C1" s="47"/>
    </row>
    <row r="3" spans="1:3" x14ac:dyDescent="0.2">
      <c r="A3" s="2" t="s">
        <v>134</v>
      </c>
      <c r="B3" s="11" t="s">
        <v>77</v>
      </c>
      <c r="C3" s="11" t="s">
        <v>78</v>
      </c>
    </row>
    <row r="4" spans="1:3" x14ac:dyDescent="0.2">
      <c r="A4" s="48" t="s">
        <v>135</v>
      </c>
      <c r="B4" s="47"/>
      <c r="C4" s="47"/>
    </row>
    <row r="5" spans="1:3" x14ac:dyDescent="0.2">
      <c r="A5" t="s">
        <v>136</v>
      </c>
      <c r="B5" s="4">
        <v>15000</v>
      </c>
      <c r="C5" s="4">
        <v>30000</v>
      </c>
    </row>
    <row r="6" spans="1:3" x14ac:dyDescent="0.2">
      <c r="A6" t="s">
        <v>137</v>
      </c>
      <c r="B6" s="18">
        <f>'1_Annahmen'!B11</f>
        <v>0.04</v>
      </c>
      <c r="C6" s="18">
        <f>'1_Annahmen'!B11</f>
        <v>0.04</v>
      </c>
    </row>
    <row r="7" spans="1:3" x14ac:dyDescent="0.2">
      <c r="A7" t="s">
        <v>138</v>
      </c>
      <c r="B7" s="18">
        <f>'1_Annahmen'!B12</f>
        <v>0.01</v>
      </c>
      <c r="C7" s="18">
        <f>'1_Annahmen'!B12</f>
        <v>0.01</v>
      </c>
    </row>
    <row r="8" spans="1:3" x14ac:dyDescent="0.2">
      <c r="A8" t="s">
        <v>139</v>
      </c>
      <c r="B8" s="19">
        <f>B5*B6</f>
        <v>600</v>
      </c>
      <c r="C8" s="19">
        <f>C5*C6</f>
        <v>1200</v>
      </c>
    </row>
    <row r="9" spans="1:3" x14ac:dyDescent="0.2">
      <c r="A9" t="s">
        <v>140</v>
      </c>
      <c r="B9" s="19">
        <f>B5*B7</f>
        <v>150</v>
      </c>
      <c r="C9" s="19">
        <f>C5*C7</f>
        <v>300</v>
      </c>
    </row>
    <row r="10" spans="1:3" x14ac:dyDescent="0.2">
      <c r="A10" s="9" t="s">
        <v>141</v>
      </c>
      <c r="B10" s="20">
        <f>B8+B9</f>
        <v>750</v>
      </c>
      <c r="C10" s="20">
        <f>C8+C9</f>
        <v>1500</v>
      </c>
    </row>
    <row r="12" spans="1:3" x14ac:dyDescent="0.2">
      <c r="A12" s="48" t="s">
        <v>142</v>
      </c>
      <c r="B12" s="47"/>
      <c r="C12" s="47"/>
    </row>
    <row r="13" spans="1:3" x14ac:dyDescent="0.2">
      <c r="A13" t="s">
        <v>143</v>
      </c>
      <c r="B13" s="4">
        <v>180</v>
      </c>
      <c r="C13" s="4">
        <v>650</v>
      </c>
    </row>
    <row r="14" spans="1:3" x14ac:dyDescent="0.2">
      <c r="A14" t="s">
        <v>144</v>
      </c>
      <c r="B14" s="6">
        <v>0.3</v>
      </c>
      <c r="C14" s="6">
        <v>0.45</v>
      </c>
    </row>
    <row r="15" spans="1:3" x14ac:dyDescent="0.2">
      <c r="A15" s="9" t="s">
        <v>145</v>
      </c>
      <c r="B15" s="20">
        <f>B13*B14</f>
        <v>54</v>
      </c>
      <c r="C15" s="20">
        <f>C13*C14</f>
        <v>292.5</v>
      </c>
    </row>
    <row r="17" spans="1:3" x14ac:dyDescent="0.2">
      <c r="A17" s="48" t="s">
        <v>146</v>
      </c>
      <c r="B17" s="47"/>
      <c r="C17" s="47"/>
    </row>
    <row r="18" spans="1:3" x14ac:dyDescent="0.2">
      <c r="A18" t="s">
        <v>147</v>
      </c>
      <c r="B18" s="8">
        <f>B10*'2_Pricing'!B24*12/2</f>
        <v>25023</v>
      </c>
      <c r="C18" s="8">
        <f>C10*'2_Pricing'!B24*12</f>
        <v>100092</v>
      </c>
    </row>
    <row r="19" spans="1:3" x14ac:dyDescent="0.2">
      <c r="A19" t="s">
        <v>148</v>
      </c>
      <c r="B19" s="8">
        <f>B15*'2_Pricing'!B25*12/2</f>
        <v>14122.349999999999</v>
      </c>
      <c r="C19" s="8">
        <f>C15*'2_Pricing'!B25*12</f>
        <v>152992.125</v>
      </c>
    </row>
    <row r="20" spans="1:3" x14ac:dyDescent="0.2">
      <c r="A20" t="s">
        <v>149</v>
      </c>
      <c r="B20" s="8">
        <f>B10*60*0.8*'1_Annahmen'!B27/2</f>
        <v>1800</v>
      </c>
      <c r="C20" s="8">
        <f>C10*80*1.5*'1_Annahmen'!B27</f>
        <v>18000</v>
      </c>
    </row>
    <row r="21" spans="1:3" x14ac:dyDescent="0.2">
      <c r="A21" t="s">
        <v>150</v>
      </c>
      <c r="B21" s="8">
        <f>B10*20*'1_Annahmen'!B28/2</f>
        <v>375</v>
      </c>
      <c r="C21" s="8">
        <f>C10*50*'1_Annahmen'!B28</f>
        <v>3750</v>
      </c>
    </row>
    <row r="22" spans="1:3" x14ac:dyDescent="0.2">
      <c r="A22" t="s">
        <v>151</v>
      </c>
      <c r="B22" s="7">
        <v>2500</v>
      </c>
      <c r="C22" s="7">
        <v>25000</v>
      </c>
    </row>
    <row r="23" spans="1:3" x14ac:dyDescent="0.2">
      <c r="A23" s="2" t="s">
        <v>152</v>
      </c>
      <c r="B23" s="14">
        <f>SUM(B18:B22)</f>
        <v>43820.35</v>
      </c>
      <c r="C23" s="14">
        <f>SUM(C18:C22)</f>
        <v>299834.125</v>
      </c>
    </row>
    <row r="25" spans="1:3" x14ac:dyDescent="0.2">
      <c r="A25" s="48" t="s">
        <v>153</v>
      </c>
      <c r="B25" s="47"/>
      <c r="C25" s="47"/>
    </row>
    <row r="26" spans="1:3" x14ac:dyDescent="0.2">
      <c r="A26" t="s">
        <v>154</v>
      </c>
      <c r="B26" s="8">
        <f>B5*'1_Annahmen'!B22*12/2</f>
        <v>10800</v>
      </c>
      <c r="C26" s="8">
        <f>C5*'1_Annahmen'!B22*12</f>
        <v>43200</v>
      </c>
    </row>
    <row r="27" spans="1:3" x14ac:dyDescent="0.2">
      <c r="A27" t="s">
        <v>155</v>
      </c>
      <c r="B27" s="8">
        <f>B10*'1_Annahmen'!B23*12/2</f>
        <v>810</v>
      </c>
      <c r="C27" s="8">
        <f>C10*'1_Annahmen'!B23*12</f>
        <v>3240</v>
      </c>
    </row>
    <row r="28" spans="1:3" x14ac:dyDescent="0.2">
      <c r="A28" t="s">
        <v>156</v>
      </c>
      <c r="B28" s="8">
        <f>B18*'1_Annahmen'!B24/2</f>
        <v>3753.45</v>
      </c>
      <c r="C28" s="8">
        <f>C18*'1_Annahmen'!B25</f>
        <v>15013.8</v>
      </c>
    </row>
    <row r="29" spans="1:3" x14ac:dyDescent="0.2">
      <c r="A29" t="s">
        <v>157</v>
      </c>
      <c r="B29" s="8">
        <f>B23*'1_Annahmen'!B26/2</f>
        <v>635.39507500000002</v>
      </c>
      <c r="C29" s="8">
        <f>C23*'1_Annahmen'!B26</f>
        <v>8695.1896250000009</v>
      </c>
    </row>
    <row r="30" spans="1:3" x14ac:dyDescent="0.2">
      <c r="A30" t="s">
        <v>158</v>
      </c>
      <c r="B30" s="8">
        <f>B5*'1_Annahmen'!B17/2</f>
        <v>30000</v>
      </c>
      <c r="C30" s="8">
        <f>MAX(0,C5-B5)*'1_Annahmen'!B17</f>
        <v>60000</v>
      </c>
    </row>
    <row r="31" spans="1:3" x14ac:dyDescent="0.2">
      <c r="A31" t="s">
        <v>159</v>
      </c>
      <c r="B31" s="8">
        <f>B10*('1_Annahmen'!B18-'1_Annahmen'!B17)/2</f>
        <v>5250</v>
      </c>
      <c r="C31" s="8">
        <f>MAX(0,C10-B10)*('1_Annahmen'!B18-'1_Annahmen'!B17)</f>
        <v>10500</v>
      </c>
    </row>
    <row r="32" spans="1:3" x14ac:dyDescent="0.2">
      <c r="A32" t="s">
        <v>160</v>
      </c>
      <c r="B32" s="8">
        <f>B13*'1_Annahmen'!B19/2</f>
        <v>21600</v>
      </c>
      <c r="C32" s="8">
        <f>MAX(0,C13-B13)*'1_Annahmen'!B19</f>
        <v>112800</v>
      </c>
    </row>
    <row r="33" spans="1:3" x14ac:dyDescent="0.2">
      <c r="A33" s="9" t="s">
        <v>131</v>
      </c>
      <c r="B33" s="10">
        <f>SUM(B26:B32)</f>
        <v>72848.845075000005</v>
      </c>
      <c r="C33" s="10">
        <f>SUM(C26:C32)</f>
        <v>253448.98962499999</v>
      </c>
    </row>
  </sheetData>
  <mergeCells count="5">
    <mergeCell ref="A1:C1"/>
    <mergeCell ref="A4:C4"/>
    <mergeCell ref="A12:C12"/>
    <mergeCell ref="A17:C17"/>
    <mergeCell ref="A25:C25"/>
  </mergeCells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opLeftCell="A4" zoomScale="143" zoomScaleNormal="143" workbookViewId="0">
      <selection activeCell="A4" sqref="A4:F4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46" t="s">
        <v>133</v>
      </c>
      <c r="B1" s="47"/>
      <c r="C1" s="47"/>
      <c r="D1" s="47"/>
      <c r="E1" s="47"/>
      <c r="F1" s="47"/>
    </row>
    <row r="3" spans="1:6" x14ac:dyDescent="0.2">
      <c r="A3" s="2" t="s">
        <v>134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48" t="s">
        <v>135</v>
      </c>
      <c r="B4" s="47"/>
      <c r="C4" s="47"/>
      <c r="D4" s="47"/>
      <c r="E4" s="47"/>
      <c r="F4" s="47"/>
    </row>
    <row r="5" spans="1:6" x14ac:dyDescent="0.2">
      <c r="A5" t="s">
        <v>136</v>
      </c>
      <c r="B5" s="4">
        <v>15000</v>
      </c>
      <c r="C5" s="4">
        <v>30000</v>
      </c>
      <c r="D5" s="4">
        <v>100000</v>
      </c>
      <c r="E5" s="4">
        <v>480000</v>
      </c>
      <c r="F5" s="4">
        <v>780000</v>
      </c>
    </row>
    <row r="6" spans="1:6" x14ac:dyDescent="0.2">
      <c r="A6" t="s">
        <v>137</v>
      </c>
      <c r="B6" s="18">
        <f>'1_Annahmen'!B11</f>
        <v>0.04</v>
      </c>
      <c r="C6" s="18">
        <f>'1_Annahmen'!B11</f>
        <v>0.04</v>
      </c>
      <c r="D6" s="18">
        <f>'1_Annahmen'!B11</f>
        <v>0.04</v>
      </c>
      <c r="E6" s="18">
        <f>'1_Annahmen'!B11</f>
        <v>0.04</v>
      </c>
      <c r="F6" s="18">
        <f>'1_Annahmen'!B11</f>
        <v>0.04</v>
      </c>
    </row>
    <row r="7" spans="1:6" x14ac:dyDescent="0.2">
      <c r="A7" t="s">
        <v>138</v>
      </c>
      <c r="B7" s="18">
        <f>'1_Annahmen'!B12</f>
        <v>0.01</v>
      </c>
      <c r="C7" s="18">
        <f>'1_Annahmen'!B12</f>
        <v>0.01</v>
      </c>
      <c r="D7" s="18">
        <f>'1_Annahmen'!B12</f>
        <v>0.01</v>
      </c>
      <c r="E7" s="18">
        <f>'1_Annahmen'!B12</f>
        <v>0.01</v>
      </c>
      <c r="F7" s="18">
        <f>'1_Annahmen'!B12</f>
        <v>0.01</v>
      </c>
    </row>
    <row r="8" spans="1:6" x14ac:dyDescent="0.2">
      <c r="A8" t="s">
        <v>139</v>
      </c>
      <c r="B8" s="19">
        <f>B5*B6</f>
        <v>600</v>
      </c>
      <c r="C8" s="19">
        <f>C5*C6</f>
        <v>1200</v>
      </c>
      <c r="D8" s="19">
        <f>D5*D6</f>
        <v>4000</v>
      </c>
      <c r="E8" s="19">
        <f>E5*E6</f>
        <v>19200</v>
      </c>
      <c r="F8" s="19">
        <f>F5*F6</f>
        <v>31200</v>
      </c>
    </row>
    <row r="9" spans="1:6" x14ac:dyDescent="0.2">
      <c r="A9" t="s">
        <v>140</v>
      </c>
      <c r="B9" s="19">
        <f>B5*B7</f>
        <v>150</v>
      </c>
      <c r="C9" s="19">
        <f>C5*C7</f>
        <v>300</v>
      </c>
      <c r="D9" s="19">
        <f>D5*D7</f>
        <v>1000</v>
      </c>
      <c r="E9" s="19">
        <f>E5*E7</f>
        <v>4800</v>
      </c>
      <c r="F9" s="19">
        <f>F5*F7</f>
        <v>7800</v>
      </c>
    </row>
    <row r="10" spans="1:6" x14ac:dyDescent="0.2">
      <c r="A10" s="9" t="s">
        <v>141</v>
      </c>
      <c r="B10" s="20">
        <f>B8+B9</f>
        <v>750</v>
      </c>
      <c r="C10" s="20">
        <f>C8+C9</f>
        <v>1500</v>
      </c>
      <c r="D10" s="20">
        <f>D8+D9</f>
        <v>5000</v>
      </c>
      <c r="E10" s="20">
        <f>E8+E9</f>
        <v>24000</v>
      </c>
      <c r="F10" s="20">
        <f>F8+F9</f>
        <v>39000</v>
      </c>
    </row>
    <row r="12" spans="1:6" x14ac:dyDescent="0.2">
      <c r="A12" s="48" t="s">
        <v>142</v>
      </c>
      <c r="B12" s="47"/>
      <c r="C12" s="47"/>
      <c r="D12" s="47"/>
      <c r="E12" s="47"/>
      <c r="F12" s="47"/>
    </row>
    <row r="13" spans="1:6" x14ac:dyDescent="0.2">
      <c r="A13" t="s">
        <v>143</v>
      </c>
      <c r="B13" s="4">
        <v>180</v>
      </c>
      <c r="C13" s="4">
        <v>650</v>
      </c>
      <c r="D13" s="4">
        <v>1800</v>
      </c>
      <c r="E13" s="4">
        <v>3500</v>
      </c>
      <c r="F13" s="4">
        <v>5500</v>
      </c>
    </row>
    <row r="14" spans="1:6" x14ac:dyDescent="0.2">
      <c r="A14" t="s">
        <v>144</v>
      </c>
      <c r="B14" s="6">
        <v>0.3</v>
      </c>
      <c r="C14" s="6">
        <v>0.45</v>
      </c>
      <c r="D14" s="6">
        <v>0.55000000000000004</v>
      </c>
      <c r="E14" s="6">
        <v>0.62</v>
      </c>
      <c r="F14" s="6">
        <v>0.68</v>
      </c>
    </row>
    <row r="15" spans="1:6" x14ac:dyDescent="0.2">
      <c r="A15" s="9" t="s">
        <v>145</v>
      </c>
      <c r="B15" s="20">
        <f>B13*B14</f>
        <v>54</v>
      </c>
      <c r="C15" s="20">
        <f>C13*C14</f>
        <v>292.5</v>
      </c>
      <c r="D15" s="20">
        <f>D13*D14</f>
        <v>990.00000000000011</v>
      </c>
      <c r="E15" s="20">
        <f>E13*E14</f>
        <v>2170</v>
      </c>
      <c r="F15" s="20">
        <f>F13*F14</f>
        <v>3740.0000000000005</v>
      </c>
    </row>
    <row r="17" spans="1:6" x14ac:dyDescent="0.2">
      <c r="A17" s="48" t="s">
        <v>146</v>
      </c>
      <c r="B17" s="47"/>
      <c r="C17" s="47"/>
      <c r="D17" s="47"/>
      <c r="E17" s="47"/>
      <c r="F17" s="47"/>
    </row>
    <row r="18" spans="1:6" x14ac:dyDescent="0.2">
      <c r="A18" t="s">
        <v>147</v>
      </c>
      <c r="B18" s="8">
        <f>B10*'2_Pricing'!B24*12/2</f>
        <v>25023</v>
      </c>
      <c r="C18" s="8">
        <f>C10*'2_Pricing'!B24*12</f>
        <v>100092</v>
      </c>
      <c r="D18" s="8">
        <f>D10*'2_Pricing'!B24*12</f>
        <v>333640</v>
      </c>
      <c r="E18" s="8">
        <f>E10*'2_Pricing'!B24*12</f>
        <v>1601472</v>
      </c>
      <c r="F18" s="8">
        <f>F10*'2_Pricing'!B24*12</f>
        <v>2602392.0000000005</v>
      </c>
    </row>
    <row r="19" spans="1:6" x14ac:dyDescent="0.2">
      <c r="A19" t="s">
        <v>148</v>
      </c>
      <c r="B19" s="8">
        <f>B15*'2_Pricing'!B25*12/2</f>
        <v>14122.349999999999</v>
      </c>
      <c r="C19" s="8">
        <f>C15*'2_Pricing'!B25*12</f>
        <v>152992.125</v>
      </c>
      <c r="D19" s="8">
        <f>D15*'2_Pricing'!B25*12</f>
        <v>517819.5</v>
      </c>
      <c r="E19" s="8">
        <f>E15*'2_Pricing'!B25*12</f>
        <v>1135018.5</v>
      </c>
      <c r="F19" s="8">
        <f>F15*'2_Pricing'!B25*12</f>
        <v>1956207</v>
      </c>
    </row>
    <row r="20" spans="1:6" x14ac:dyDescent="0.2">
      <c r="A20" t="s">
        <v>149</v>
      </c>
      <c r="B20" s="8">
        <f>B10*60*0.8*'1_Annahmen'!B27/2</f>
        <v>1800</v>
      </c>
      <c r="C20" s="8">
        <f>C10*80*1.5*'1_Annahmen'!B27</f>
        <v>18000</v>
      </c>
      <c r="D20" s="8">
        <f>D10*100*2.5*'1_Annahmen'!B27</f>
        <v>125000</v>
      </c>
      <c r="E20" s="8">
        <f>E10*120*3.5*'1_Annahmen'!B27</f>
        <v>1008000</v>
      </c>
      <c r="F20" s="8">
        <f>F10*140*4.5*'1_Annahmen'!B27</f>
        <v>2457000</v>
      </c>
    </row>
    <row r="21" spans="1:6" x14ac:dyDescent="0.2">
      <c r="A21" t="s">
        <v>150</v>
      </c>
      <c r="B21" s="8">
        <f>B10*20*'1_Annahmen'!B28/2</f>
        <v>375</v>
      </c>
      <c r="C21" s="8">
        <f>C10*50*'1_Annahmen'!B28</f>
        <v>3750</v>
      </c>
      <c r="D21" s="8">
        <f>D10*110*'1_Annahmen'!B28</f>
        <v>27500</v>
      </c>
      <c r="E21" s="8">
        <f>E10*200*'1_Annahmen'!B28</f>
        <v>240000</v>
      </c>
      <c r="F21" s="8">
        <f>F10*320*'1_Annahmen'!B28</f>
        <v>624000</v>
      </c>
    </row>
    <row r="22" spans="1:6" x14ac:dyDescent="0.2">
      <c r="A22" t="s">
        <v>151</v>
      </c>
      <c r="B22" s="7">
        <v>2500</v>
      </c>
      <c r="C22" s="7">
        <v>25000</v>
      </c>
      <c r="D22" s="7">
        <v>90000</v>
      </c>
      <c r="E22" s="7">
        <v>220000</v>
      </c>
      <c r="F22" s="7">
        <v>380000</v>
      </c>
    </row>
    <row r="23" spans="1:6" x14ac:dyDescent="0.2">
      <c r="A23" s="2" t="s">
        <v>152</v>
      </c>
      <c r="B23" s="14">
        <f>SUM(B18:B22)</f>
        <v>43820.35</v>
      </c>
      <c r="C23" s="14">
        <f>SUM(C18:C22)</f>
        <v>299834.125</v>
      </c>
      <c r="D23" s="14">
        <f>SUM(D18:D22)</f>
        <v>1093959.5</v>
      </c>
      <c r="E23" s="14">
        <f>SUM(E18:E22)</f>
        <v>4204490.5</v>
      </c>
      <c r="F23" s="14">
        <f>SUM(F18:F22)</f>
        <v>8019599</v>
      </c>
    </row>
    <row r="25" spans="1:6" x14ac:dyDescent="0.2">
      <c r="A25" s="48" t="s">
        <v>153</v>
      </c>
      <c r="B25" s="47"/>
      <c r="C25" s="47"/>
      <c r="D25" s="47"/>
      <c r="E25" s="47"/>
      <c r="F25" s="47"/>
    </row>
    <row r="26" spans="1:6" x14ac:dyDescent="0.2">
      <c r="A26" t="s">
        <v>154</v>
      </c>
      <c r="B26" s="8">
        <f>B5*'1_Annahmen'!B22*12/2</f>
        <v>10800</v>
      </c>
      <c r="C26" s="8">
        <f>C5*'1_Annahmen'!B22*12</f>
        <v>43200</v>
      </c>
      <c r="D26" s="8">
        <f>D5*'1_Annahmen'!B22*12</f>
        <v>144000</v>
      </c>
      <c r="E26" s="8">
        <f>E5*'1_Annahmen'!B22*12</f>
        <v>691200</v>
      </c>
      <c r="F26" s="8">
        <f>F5*'1_Annahmen'!B22*12</f>
        <v>1123200</v>
      </c>
    </row>
    <row r="27" spans="1:6" x14ac:dyDescent="0.2">
      <c r="A27" t="s">
        <v>155</v>
      </c>
      <c r="B27" s="8">
        <f>B10*'1_Annahmen'!B23*12/2</f>
        <v>810</v>
      </c>
      <c r="C27" s="8">
        <f>C10*'1_Annahmen'!B23*12</f>
        <v>3240</v>
      </c>
      <c r="D27" s="8">
        <f>D10*'1_Annahmen'!B23*12</f>
        <v>10800</v>
      </c>
      <c r="E27" s="8">
        <f>E10*'1_Annahmen'!B23*12</f>
        <v>51840</v>
      </c>
      <c r="F27" s="8">
        <f>F10*'1_Annahmen'!B23*12</f>
        <v>84240</v>
      </c>
    </row>
    <row r="28" spans="1:6" x14ac:dyDescent="0.2">
      <c r="A28" t="s">
        <v>156</v>
      </c>
      <c r="B28" s="8">
        <f>B18*'1_Annahmen'!B24/2</f>
        <v>3753.45</v>
      </c>
      <c r="C28" s="8">
        <f>C18*'1_Annahmen'!B25</f>
        <v>15013.8</v>
      </c>
      <c r="D28" s="8">
        <f>D18*'1_Annahmen'!B25</f>
        <v>50046</v>
      </c>
      <c r="E28" s="8">
        <f>E18*'1_Annahmen'!B25</f>
        <v>240220.79999999999</v>
      </c>
      <c r="F28" s="8">
        <f>F18*'1_Annahmen'!B25</f>
        <v>390358.80000000005</v>
      </c>
    </row>
    <row r="29" spans="1:6" x14ac:dyDescent="0.2">
      <c r="A29" t="s">
        <v>157</v>
      </c>
      <c r="B29" s="8">
        <f>B23*'1_Annahmen'!B26/2</f>
        <v>635.39507500000002</v>
      </c>
      <c r="C29" s="8">
        <f>C23*'1_Annahmen'!B26</f>
        <v>8695.1896250000009</v>
      </c>
      <c r="D29" s="8">
        <f>D23*'1_Annahmen'!B26</f>
        <v>31724.825500000003</v>
      </c>
      <c r="E29" s="8">
        <f>E23*'1_Annahmen'!B26</f>
        <v>121930.22450000001</v>
      </c>
      <c r="F29" s="8">
        <f>F23*'1_Annahmen'!B26</f>
        <v>232568.37100000001</v>
      </c>
    </row>
    <row r="30" spans="1:6" x14ac:dyDescent="0.2">
      <c r="A30" t="s">
        <v>158</v>
      </c>
      <c r="B30" s="8">
        <f>B5*'1_Annahmen'!B17/2</f>
        <v>30000</v>
      </c>
      <c r="C30" s="8">
        <f>MAX(0,C5-B5)*'1_Annahmen'!B17</f>
        <v>60000</v>
      </c>
      <c r="D30" s="8">
        <f>MAX(0,D5-C5)*'1_Annahmen'!B17</f>
        <v>280000</v>
      </c>
      <c r="E30" s="8">
        <f>MAX(0,E5-D5)*'1_Annahmen'!B17</f>
        <v>1520000</v>
      </c>
      <c r="F30" s="8">
        <f>MAX(0,F5-E5)*'1_Annahmen'!B17</f>
        <v>1200000</v>
      </c>
    </row>
    <row r="31" spans="1:6" x14ac:dyDescent="0.2">
      <c r="A31" t="s">
        <v>159</v>
      </c>
      <c r="B31" s="8">
        <f>B10*('1_Annahmen'!B18-'1_Annahmen'!B17)/2</f>
        <v>5250</v>
      </c>
      <c r="C31" s="8">
        <f>MAX(0,C10-B10)*('1_Annahmen'!B18-'1_Annahmen'!B17)</f>
        <v>10500</v>
      </c>
      <c r="D31" s="8">
        <f>MAX(0,D10-C10)*('1_Annahmen'!B18-'1_Annahmen'!B17)</f>
        <v>49000</v>
      </c>
      <c r="E31" s="8">
        <f>MAX(0,E10-D10)*('1_Annahmen'!B18-'1_Annahmen'!B17)</f>
        <v>266000</v>
      </c>
      <c r="F31" s="8">
        <f>MAX(0,F10-E10)*('1_Annahmen'!B18-'1_Annahmen'!B17)</f>
        <v>210000</v>
      </c>
    </row>
    <row r="32" spans="1:6" x14ac:dyDescent="0.2">
      <c r="A32" t="s">
        <v>160</v>
      </c>
      <c r="B32" s="8">
        <f>B13*'1_Annahmen'!B19/2</f>
        <v>21600</v>
      </c>
      <c r="C32" s="8">
        <f>MAX(0,C13-B13)*'1_Annahmen'!B19</f>
        <v>112800</v>
      </c>
      <c r="D32" s="8">
        <f>MAX(0,D13-C13)*'1_Annahmen'!B19</f>
        <v>276000</v>
      </c>
      <c r="E32" s="8">
        <f>MAX(0,E13-D13)*'1_Annahmen'!B19</f>
        <v>408000</v>
      </c>
      <c r="F32" s="8">
        <f>MAX(0,F13-E13)*'1_Annahmen'!B19</f>
        <v>480000</v>
      </c>
    </row>
    <row r="33" spans="1:6" x14ac:dyDescent="0.2">
      <c r="A33" s="9" t="s">
        <v>131</v>
      </c>
      <c r="B33" s="10">
        <f>SUM(B26:B32)</f>
        <v>72848.845075000005</v>
      </c>
      <c r="C33" s="10">
        <f>SUM(C26:C32)</f>
        <v>253448.98962499999</v>
      </c>
      <c r="D33" s="10">
        <f>SUM(D26:D32)</f>
        <v>841570.82550000004</v>
      </c>
      <c r="E33" s="10">
        <f>SUM(E26:E32)</f>
        <v>3299191.0245000003</v>
      </c>
      <c r="F33" s="10">
        <f>SUM(F26:F32)</f>
        <v>3720367.1710000001</v>
      </c>
    </row>
  </sheetData>
  <mergeCells count="5">
    <mergeCell ref="A1:F1"/>
    <mergeCell ref="A17:F17"/>
    <mergeCell ref="A12:F12"/>
    <mergeCell ref="A4:F4"/>
    <mergeCell ref="A25:F25"/>
  </mergeCells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zoomScale="146" zoomScaleNormal="146" workbookViewId="0">
      <selection activeCell="C8" sqref="C8"/>
    </sheetView>
  </sheetViews>
  <sheetFormatPr baseColWidth="10" defaultColWidth="8.83203125" defaultRowHeight="15" x14ac:dyDescent="0.2"/>
  <cols>
    <col min="1" max="1" width="44" customWidth="1"/>
    <col min="2" max="7" width="18" customWidth="1"/>
  </cols>
  <sheetData>
    <row r="1" spans="1:6" x14ac:dyDescent="0.2">
      <c r="A1" s="46" t="s">
        <v>161</v>
      </c>
      <c r="B1" s="47"/>
      <c r="C1" s="47"/>
      <c r="D1" s="47"/>
      <c r="E1" s="47"/>
      <c r="F1" s="47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9" t="s">
        <v>162</v>
      </c>
      <c r="B4" s="16">
        <f>'5_Umsatz_Prognose'!B23</f>
        <v>43820.35</v>
      </c>
      <c r="C4" s="16">
        <f>'5_Umsatz_Prognose'!C23</f>
        <v>299834.125</v>
      </c>
      <c r="D4" s="16">
        <f>'5_Umsatz_Prognose'!D23</f>
        <v>1093959.5</v>
      </c>
      <c r="E4" s="16">
        <f>'5_Umsatz_Prognose'!E23</f>
        <v>4204490.5</v>
      </c>
      <c r="F4" s="16">
        <f>'5_Umsatz_Prognose'!F23</f>
        <v>8019599</v>
      </c>
    </row>
    <row r="5" spans="1:6" x14ac:dyDescent="0.2">
      <c r="A5" t="s">
        <v>163</v>
      </c>
      <c r="B5" s="16">
        <f>-'5_Umsatz_Prognose'!B33</f>
        <v>-72848.845075000005</v>
      </c>
      <c r="C5" s="16">
        <f>-'5_Umsatz_Prognose'!C33</f>
        <v>-253448.98962499999</v>
      </c>
      <c r="D5" s="16">
        <f>-'5_Umsatz_Prognose'!D33</f>
        <v>-841570.82550000004</v>
      </c>
      <c r="E5" s="16">
        <f>-'5_Umsatz_Prognose'!E33</f>
        <v>-3299191.0245000003</v>
      </c>
      <c r="F5" s="16">
        <f>-'5_Umsatz_Prognose'!F33</f>
        <v>-3720367.1710000001</v>
      </c>
    </row>
    <row r="6" spans="1:6" x14ac:dyDescent="0.2">
      <c r="A6" s="9" t="s">
        <v>164</v>
      </c>
      <c r="B6" s="10">
        <f>B4+B5</f>
        <v>-29028.495075000006</v>
      </c>
      <c r="C6" s="10">
        <f>C4+C5</f>
        <v>46385.135375000013</v>
      </c>
      <c r="D6" s="10">
        <f>D4+D5</f>
        <v>252388.67449999996</v>
      </c>
      <c r="E6" s="10">
        <f>E4+E5</f>
        <v>905299.47549999971</v>
      </c>
      <c r="F6" s="10">
        <f>F4+F5</f>
        <v>4299231.8289999999</v>
      </c>
    </row>
    <row r="7" spans="1:6" x14ac:dyDescent="0.2">
      <c r="A7" t="s">
        <v>165</v>
      </c>
      <c r="B7" s="21">
        <f>IFERROR(B6/B4,0)</f>
        <v>-0.66244325011096461</v>
      </c>
      <c r="C7" s="21">
        <f>IFERROR(C6/C4,0)</f>
        <v>0.15470265559332186</v>
      </c>
      <c r="D7" s="21">
        <f>IFERROR(D6/D4,0)</f>
        <v>0.23071116846647427</v>
      </c>
      <c r="E7" s="21">
        <f>IFERROR(E6/E4,0)</f>
        <v>0.21531728410374568</v>
      </c>
      <c r="F7" s="21">
        <f>IFERROR(F6/F4,0)</f>
        <v>0.53609062360848714</v>
      </c>
    </row>
    <row r="8" spans="1:6" x14ac:dyDescent="0.2">
      <c r="A8" t="s">
        <v>166</v>
      </c>
      <c r="B8" s="16">
        <f>-'4_Kosten'!B14</f>
        <v>-56000</v>
      </c>
      <c r="C8" s="16">
        <f>-'4_Kosten'!C14</f>
        <v>-114000</v>
      </c>
      <c r="D8" s="16">
        <f>-'4_Kosten'!D14</f>
        <v>-174000</v>
      </c>
      <c r="E8" s="16">
        <f>-'4_Kosten'!E14</f>
        <v>-216000</v>
      </c>
      <c r="F8" s="16">
        <f>-'4_Kosten'!F14</f>
        <v>-244000</v>
      </c>
    </row>
    <row r="9" spans="1:6" x14ac:dyDescent="0.2">
      <c r="A9" s="2" t="s">
        <v>167</v>
      </c>
      <c r="B9" s="14">
        <f>B6+B8</f>
        <v>-85028.495075000013</v>
      </c>
      <c r="C9" s="14">
        <f>C6+C8</f>
        <v>-67614.864624999987</v>
      </c>
      <c r="D9" s="14">
        <f>D6+D8</f>
        <v>78388.674499999965</v>
      </c>
      <c r="E9" s="14">
        <f>E6+E8</f>
        <v>689299.47549999971</v>
      </c>
      <c r="F9" s="14">
        <f>F6+F8</f>
        <v>4055231.8289999999</v>
      </c>
    </row>
    <row r="10" spans="1:6" x14ac:dyDescent="0.2">
      <c r="A10" t="s">
        <v>168</v>
      </c>
      <c r="B10" s="21">
        <f>IFERROR(B9/B4,0)</f>
        <v>-1.9403883144475116</v>
      </c>
      <c r="C10" s="21">
        <f>IFERROR(C9/C4,0)</f>
        <v>-0.22550756897667998</v>
      </c>
      <c r="D10" s="21">
        <f>IFERROR(D9/D4,0)</f>
        <v>7.1655920077479979E-2</v>
      </c>
      <c r="E10" s="21">
        <f>IFERROR(E9/E4,0)</f>
        <v>0.1639436396633551</v>
      </c>
      <c r="F10" s="21">
        <f>IFERROR(F9/F4,0)</f>
        <v>0.50566516218579005</v>
      </c>
    </row>
    <row r="12" spans="1:6" x14ac:dyDescent="0.2">
      <c r="A12" s="48" t="s">
        <v>169</v>
      </c>
      <c r="B12" s="47"/>
      <c r="C12" s="47"/>
      <c r="D12" s="47"/>
      <c r="E12" s="47"/>
      <c r="F12" s="47"/>
    </row>
    <row r="13" spans="1:6" x14ac:dyDescent="0.2">
      <c r="A13" s="9" t="s">
        <v>170</v>
      </c>
      <c r="B13" s="10">
        <f>B9</f>
        <v>-85028.495075000013</v>
      </c>
      <c r="C13" s="10">
        <f>B13+C9</f>
        <v>-152643.3597</v>
      </c>
      <c r="D13" s="10">
        <f>C13+D9</f>
        <v>-74254.685200000036</v>
      </c>
      <c r="E13" s="10">
        <f>D13+E9</f>
        <v>615044.79029999964</v>
      </c>
      <c r="F13" s="10">
        <f>E13+F9</f>
        <v>4670276.6192999994</v>
      </c>
    </row>
    <row r="14" spans="1:6" x14ac:dyDescent="0.2">
      <c r="A14" t="s">
        <v>171</v>
      </c>
      <c r="B14" s="7">
        <v>1750000</v>
      </c>
      <c r="C14" s="7">
        <v>0</v>
      </c>
      <c r="D14" s="7">
        <v>5000000</v>
      </c>
      <c r="E14" s="7">
        <v>0</v>
      </c>
      <c r="F14" s="7">
        <v>0</v>
      </c>
    </row>
    <row r="15" spans="1:6" x14ac:dyDescent="0.2">
      <c r="A15" s="9" t="s">
        <v>172</v>
      </c>
      <c r="B15" s="10">
        <f>B14</f>
        <v>1750000</v>
      </c>
      <c r="C15" s="10">
        <f>B15+C14</f>
        <v>1750000</v>
      </c>
      <c r="D15" s="10">
        <f>C15+D14</f>
        <v>6750000</v>
      </c>
      <c r="E15" s="10">
        <f>D15+E14</f>
        <v>6750000</v>
      </c>
      <c r="F15" s="10">
        <f>E15+F14</f>
        <v>6750000</v>
      </c>
    </row>
    <row r="16" spans="1:6" x14ac:dyDescent="0.2">
      <c r="A16" s="9" t="s">
        <v>173</v>
      </c>
      <c r="B16" s="10">
        <f>B15+B13</f>
        <v>1664971.504925</v>
      </c>
      <c r="C16" s="10">
        <f>C15+C13</f>
        <v>1597356.6403000001</v>
      </c>
      <c r="D16" s="10">
        <f>D15+D13</f>
        <v>6675745.3147999998</v>
      </c>
      <c r="E16" s="10">
        <f>E15+E13</f>
        <v>7365044.7902999995</v>
      </c>
      <c r="F16" s="10">
        <f>F15+F13</f>
        <v>11420276.6193</v>
      </c>
    </row>
    <row r="18" spans="1:6" x14ac:dyDescent="0.2">
      <c r="A18" s="48" t="s">
        <v>174</v>
      </c>
      <c r="B18" s="47"/>
      <c r="C18" s="47"/>
      <c r="D18" s="47"/>
      <c r="E18" s="47"/>
      <c r="F18" s="47"/>
    </row>
    <row r="19" spans="1:6" x14ac:dyDescent="0.2">
      <c r="A19" s="9" t="s">
        <v>175</v>
      </c>
      <c r="B19" s="10">
        <f>IFERROR(-B8/IFERROR(B6/B4,0),0)</f>
        <v>-84535.543219165629</v>
      </c>
      <c r="C19" s="10">
        <f>IFERROR(-C8/IFERROR(C6/C4,0),0)</f>
        <v>736897.49902988155</v>
      </c>
      <c r="D19" s="10">
        <f>IFERROR(-D8/IFERROR(D6/D4,0),0)</f>
        <v>754189.75664060563</v>
      </c>
      <c r="E19" s="10">
        <f>IFERROR(-E8/IFERROR(E6/E4,0),0)</f>
        <v>1003170.7435800898</v>
      </c>
      <c r="F19" s="10">
        <f>IFERROR(-F8/IFERROR(F6/F4,0),0)</f>
        <v>455146.92713259591</v>
      </c>
    </row>
    <row r="20" spans="1:6" x14ac:dyDescent="0.2">
      <c r="A20" t="s">
        <v>176</v>
      </c>
      <c r="B20" s="16">
        <f>B4</f>
        <v>43820.35</v>
      </c>
      <c r="C20" s="16">
        <f>C4</f>
        <v>299834.125</v>
      </c>
      <c r="D20" s="16">
        <f>D4</f>
        <v>1093959.5</v>
      </c>
      <c r="E20" s="16">
        <f>E4</f>
        <v>4204490.5</v>
      </c>
      <c r="F20" s="16">
        <f>F4</f>
        <v>8019599</v>
      </c>
    </row>
    <row r="21" spans="1:6" x14ac:dyDescent="0.2">
      <c r="A21" t="s">
        <v>177</v>
      </c>
      <c r="B21" s="10">
        <f>B4-B19</f>
        <v>128355.89321916562</v>
      </c>
      <c r="C21" s="10">
        <f>C4-C19</f>
        <v>-437063.37402988155</v>
      </c>
      <c r="D21" s="10">
        <f>D4-D19</f>
        <v>339769.74335939437</v>
      </c>
      <c r="E21" s="10">
        <f>E4-E19</f>
        <v>3201319.7564199101</v>
      </c>
      <c r="F21" s="10">
        <f>F4-F19</f>
        <v>7564452.0728674037</v>
      </c>
    </row>
    <row r="23" spans="1:6" x14ac:dyDescent="0.2">
      <c r="A23" s="9" t="s">
        <v>178</v>
      </c>
      <c r="B23" s="9" t="str">
        <f>IFERROR("Jahr "&amp;MATCH(TRUE,B9:F9&gt;0,0),"nach Jahr 5")</f>
        <v>nach Jahr 5</v>
      </c>
    </row>
  </sheetData>
  <mergeCells count="3">
    <mergeCell ref="A1:F1"/>
    <mergeCell ref="A12:F12"/>
    <mergeCell ref="A18:F18"/>
  </mergeCells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="97" zoomScaleNormal="97"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7" width="16" customWidth="1"/>
  </cols>
  <sheetData>
    <row r="1" spans="1:6" x14ac:dyDescent="0.2">
      <c r="A1" s="46" t="s">
        <v>179</v>
      </c>
      <c r="B1" s="47"/>
      <c r="C1" s="47"/>
      <c r="D1" s="47"/>
      <c r="E1" s="47"/>
      <c r="F1" s="47"/>
    </row>
    <row r="3" spans="1:6" x14ac:dyDescent="0.2">
      <c r="A3" s="9" t="s">
        <v>180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</row>
    <row r="4" spans="1:6" x14ac:dyDescent="0.2">
      <c r="A4" s="9" t="s">
        <v>162</v>
      </c>
      <c r="B4" s="16">
        <f>'6_GuV_Breakeven'!B4</f>
        <v>43820.35</v>
      </c>
      <c r="C4" s="16">
        <f>'6_GuV_Breakeven'!C4</f>
        <v>299834.125</v>
      </c>
      <c r="D4" s="16">
        <f>'6_GuV_Breakeven'!D4</f>
        <v>1093959.5</v>
      </c>
      <c r="E4" s="16">
        <f>'6_GuV_Breakeven'!E4</f>
        <v>4204490.5</v>
      </c>
      <c r="F4" s="16">
        <f>'6_GuV_Breakeven'!F4</f>
        <v>8019599</v>
      </c>
    </row>
    <row r="5" spans="1:6" x14ac:dyDescent="0.2">
      <c r="A5" s="9" t="s">
        <v>181</v>
      </c>
      <c r="B5" s="16">
        <f>'4_Kosten'!B14</f>
        <v>56000</v>
      </c>
      <c r="C5" s="16">
        <f>'4_Kosten'!C14</f>
        <v>114000</v>
      </c>
      <c r="D5" s="16">
        <f>'4_Kosten'!D14</f>
        <v>174000</v>
      </c>
      <c r="E5" s="16">
        <f>'4_Kosten'!E14</f>
        <v>216000</v>
      </c>
      <c r="F5" s="16">
        <f>'4_Kosten'!F14</f>
        <v>244000</v>
      </c>
    </row>
    <row r="6" spans="1:6" x14ac:dyDescent="0.2">
      <c r="A6" s="9" t="s">
        <v>182</v>
      </c>
      <c r="B6" s="16">
        <f>'5_Umsatz_Prognose'!B33</f>
        <v>72848.845075000005</v>
      </c>
      <c r="C6" s="16">
        <f>'5_Umsatz_Prognose'!C33</f>
        <v>253448.98962499999</v>
      </c>
      <c r="D6" s="16">
        <f>'5_Umsatz_Prognose'!D33</f>
        <v>841570.82550000004</v>
      </c>
      <c r="E6" s="16">
        <f>'5_Umsatz_Prognose'!E33</f>
        <v>3299191.0245000003</v>
      </c>
      <c r="F6" s="16">
        <f>'5_Umsatz_Prognose'!F33</f>
        <v>3720367.1710000001</v>
      </c>
    </row>
    <row r="7" spans="1:6" x14ac:dyDescent="0.2">
      <c r="A7" s="9" t="s">
        <v>183</v>
      </c>
      <c r="B7" s="16">
        <f>'4_Kosten'!B26</f>
        <v>128848.845075</v>
      </c>
      <c r="C7" s="16">
        <f>'4_Kosten'!C26</f>
        <v>367448.98962499999</v>
      </c>
      <c r="D7" s="16">
        <f>'4_Kosten'!D26</f>
        <v>1015570.8255</v>
      </c>
      <c r="E7" s="16">
        <f>'4_Kosten'!E26</f>
        <v>3515191.0245000003</v>
      </c>
      <c r="F7" s="16">
        <f>'4_Kosten'!F26</f>
        <v>3964367.1710000001</v>
      </c>
    </row>
    <row r="8" spans="1:6" x14ac:dyDescent="0.2">
      <c r="A8" s="9" t="s">
        <v>167</v>
      </c>
      <c r="B8" s="16">
        <f>'6_GuV_Breakeven'!B9</f>
        <v>-85028.495075000013</v>
      </c>
      <c r="C8" s="16">
        <f>'6_GuV_Breakeven'!C9</f>
        <v>-67614.864624999987</v>
      </c>
      <c r="D8" s="16">
        <f>'6_GuV_Breakeven'!D9</f>
        <v>78388.674499999965</v>
      </c>
      <c r="E8" s="16">
        <f>'6_GuV_Breakeven'!E9</f>
        <v>689299.47549999971</v>
      </c>
      <c r="F8" s="16">
        <f>'6_GuV_Breakeven'!F9</f>
        <v>4055231.8289999999</v>
      </c>
    </row>
    <row r="9" spans="1:6" x14ac:dyDescent="0.2">
      <c r="A9" s="9" t="s">
        <v>170</v>
      </c>
      <c r="B9" s="16">
        <f>'6_GuV_Breakeven'!B13</f>
        <v>-85028.495075000013</v>
      </c>
      <c r="C9" s="16">
        <f>'6_GuV_Breakeven'!C13</f>
        <v>-152643.3597</v>
      </c>
      <c r="D9" s="16">
        <f>'6_GuV_Breakeven'!D13</f>
        <v>-74254.685200000036</v>
      </c>
      <c r="E9" s="16">
        <f>'6_GuV_Breakeven'!E13</f>
        <v>615044.79029999964</v>
      </c>
      <c r="F9" s="16">
        <f>'6_GuV_Breakeven'!F13</f>
        <v>4670276.6192999994</v>
      </c>
    </row>
    <row r="10" spans="1:6" x14ac:dyDescent="0.2">
      <c r="A10" s="9" t="s">
        <v>184</v>
      </c>
      <c r="B10" s="16">
        <f>'6_GuV_Breakeven'!B16</f>
        <v>1664971.504925</v>
      </c>
      <c r="C10" s="16">
        <f>'6_GuV_Breakeven'!C16</f>
        <v>1597356.6403000001</v>
      </c>
      <c r="D10" s="16">
        <f>'6_GuV_Breakeven'!D16</f>
        <v>6675745.3147999998</v>
      </c>
      <c r="E10" s="16">
        <f>'6_GuV_Breakeven'!E16</f>
        <v>7365044.7902999995</v>
      </c>
      <c r="F10" s="16">
        <f>'6_GuV_Breakeven'!F16</f>
        <v>11420276.6193</v>
      </c>
    </row>
    <row r="11" spans="1:6" x14ac:dyDescent="0.2">
      <c r="A11" s="9" t="s">
        <v>185</v>
      </c>
      <c r="B11" s="16">
        <f>'6_GuV_Breakeven'!B19</f>
        <v>-84535.543219165629</v>
      </c>
      <c r="C11" s="16">
        <f>'6_GuV_Breakeven'!C19</f>
        <v>736897.49902988155</v>
      </c>
      <c r="D11" s="16">
        <f>'6_GuV_Breakeven'!D19</f>
        <v>754189.75664060563</v>
      </c>
      <c r="E11" s="16">
        <f>'6_GuV_Breakeven'!E19</f>
        <v>1003170.7435800898</v>
      </c>
      <c r="F11" s="16">
        <f>'6_GuV_Breakeven'!F19</f>
        <v>455146.92713259591</v>
      </c>
    </row>
  </sheetData>
  <mergeCells count="1">
    <mergeCell ref="A1:F1"/>
  </mergeCells>
  <pageMargins left="0.75" right="0.75" top="1" bottom="1" header="0.5" footer="0.5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"/>
  <sheetViews>
    <sheetView workbookViewId="0"/>
  </sheetViews>
  <sheetFormatPr baseColWidth="10" defaultColWidth="8.83203125" defaultRowHeight="15" x14ac:dyDescent="0.2"/>
  <cols>
    <col min="1" max="1" width="46" customWidth="1"/>
    <col min="2" max="6" width="15" customWidth="1"/>
    <col min="7" max="7" width="44" customWidth="1"/>
  </cols>
  <sheetData>
    <row r="1" spans="1:7" ht="17" x14ac:dyDescent="0.2">
      <c r="A1" s="24" t="s">
        <v>186</v>
      </c>
    </row>
    <row r="2" spans="1:7" x14ac:dyDescent="0.2">
      <c r="A2" s="25" t="s">
        <v>187</v>
      </c>
    </row>
    <row r="4" spans="1:7" x14ac:dyDescent="0.2">
      <c r="A4" s="26" t="s">
        <v>188</v>
      </c>
      <c r="B4" s="26"/>
    </row>
    <row r="5" spans="1:7" x14ac:dyDescent="0.2">
      <c r="A5" s="27" t="s">
        <v>189</v>
      </c>
      <c r="B5" s="28">
        <v>4</v>
      </c>
      <c r="G5" s="29" t="s">
        <v>190</v>
      </c>
    </row>
    <row r="6" spans="1:7" x14ac:dyDescent="0.2">
      <c r="A6" s="27" t="s">
        <v>191</v>
      </c>
      <c r="B6" s="28">
        <v>12</v>
      </c>
      <c r="G6" s="29" t="s">
        <v>192</v>
      </c>
    </row>
    <row r="7" spans="1:7" x14ac:dyDescent="0.2">
      <c r="A7" s="27" t="s">
        <v>193</v>
      </c>
      <c r="B7" s="30">
        <v>0.5</v>
      </c>
      <c r="G7" s="29" t="s">
        <v>194</v>
      </c>
    </row>
    <row r="8" spans="1:7" x14ac:dyDescent="0.2">
      <c r="A8" s="27" t="s">
        <v>195</v>
      </c>
      <c r="B8" s="30">
        <v>0.5</v>
      </c>
      <c r="G8" s="29" t="s">
        <v>196</v>
      </c>
    </row>
    <row r="9" spans="1:7" x14ac:dyDescent="0.2">
      <c r="A9" s="27" t="s">
        <v>197</v>
      </c>
      <c r="B9" s="31">
        <v>5</v>
      </c>
      <c r="G9" s="29" t="s">
        <v>198</v>
      </c>
    </row>
    <row r="10" spans="1:7" x14ac:dyDescent="0.2">
      <c r="A10" s="27" t="s">
        <v>199</v>
      </c>
      <c r="B10" s="30">
        <v>0.55000000000000004</v>
      </c>
      <c r="G10" s="29" t="s">
        <v>200</v>
      </c>
    </row>
    <row r="12" spans="1:7" x14ac:dyDescent="0.2">
      <c r="A12" s="26" t="s">
        <v>201</v>
      </c>
      <c r="B12" s="26"/>
    </row>
    <row r="13" spans="1:7" x14ac:dyDescent="0.2">
      <c r="A13" s="27" t="s">
        <v>202</v>
      </c>
      <c r="B13" s="32">
        <f>'5_Umsatz_Prognose'!F23</f>
        <v>8019599</v>
      </c>
    </row>
    <row r="14" spans="1:7" x14ac:dyDescent="0.2">
      <c r="A14" s="27" t="s">
        <v>203</v>
      </c>
      <c r="B14" s="32">
        <f>'6_GuV_Breakeven'!F9</f>
        <v>4055231.8289999999</v>
      </c>
    </row>
    <row r="16" spans="1:7" x14ac:dyDescent="0.2">
      <c r="A16" s="26" t="s">
        <v>204</v>
      </c>
      <c r="B16" s="26"/>
    </row>
    <row r="17" spans="1:6" x14ac:dyDescent="0.2">
      <c r="A17" s="27" t="s">
        <v>205</v>
      </c>
      <c r="B17" s="33">
        <f>B13*B5</f>
        <v>32078396</v>
      </c>
    </row>
    <row r="18" spans="1:6" x14ac:dyDescent="0.2">
      <c r="A18" s="27" t="s">
        <v>206</v>
      </c>
      <c r="B18" s="33">
        <f>B14*B6</f>
        <v>48662781.947999999</v>
      </c>
    </row>
    <row r="19" spans="1:6" x14ac:dyDescent="0.2">
      <c r="A19" s="34" t="s">
        <v>207</v>
      </c>
      <c r="B19" s="35">
        <f>B7*B17+(1-B7)*B18</f>
        <v>40370588.973999999</v>
      </c>
    </row>
    <row r="21" spans="1:6" x14ac:dyDescent="0.2">
      <c r="A21" s="26" t="s">
        <v>208</v>
      </c>
      <c r="B21" s="26"/>
    </row>
    <row r="22" spans="1:6" x14ac:dyDescent="0.2">
      <c r="A22" s="27" t="s">
        <v>209</v>
      </c>
      <c r="B22" s="36">
        <f>(1+B8)^B9</f>
        <v>7.59375</v>
      </c>
    </row>
    <row r="23" spans="1:6" x14ac:dyDescent="0.2">
      <c r="A23" s="34" t="s">
        <v>210</v>
      </c>
      <c r="B23" s="35">
        <f>B19/B22</f>
        <v>5316291.5521316873</v>
      </c>
    </row>
    <row r="24" spans="1:6" x14ac:dyDescent="0.2">
      <c r="A24" s="27" t="s">
        <v>211</v>
      </c>
      <c r="B24" s="33">
        <f>B23*(1-B10)</f>
        <v>2392331.1984592592</v>
      </c>
    </row>
    <row r="26" spans="1:6" x14ac:dyDescent="0.2">
      <c r="A26" s="26" t="s">
        <v>212</v>
      </c>
      <c r="B26" s="26"/>
      <c r="C26" s="26"/>
      <c r="D26" s="26"/>
      <c r="E26" s="26"/>
      <c r="F26" s="26"/>
    </row>
    <row r="27" spans="1:6" x14ac:dyDescent="0.2">
      <c r="A27" s="37" t="s">
        <v>213</v>
      </c>
      <c r="B27" s="38">
        <v>3</v>
      </c>
      <c r="C27" s="38">
        <v>4</v>
      </c>
      <c r="D27" s="38">
        <v>5</v>
      </c>
      <c r="E27" s="38">
        <v>6</v>
      </c>
    </row>
    <row r="28" spans="1:6" x14ac:dyDescent="0.2">
      <c r="A28" s="30">
        <v>0.45</v>
      </c>
      <c r="B28" s="33">
        <f t="shared" ref="B28:E31" si="0">($B$13*B$27)/(1+$A28)^$B$9</f>
        <v>3753478.1888620676</v>
      </c>
      <c r="C28" s="33">
        <f t="shared" si="0"/>
        <v>5004637.5851494232</v>
      </c>
      <c r="D28" s="33">
        <f t="shared" si="0"/>
        <v>6255796.9814367797</v>
      </c>
      <c r="E28" s="33">
        <f t="shared" si="0"/>
        <v>7506956.3777241353</v>
      </c>
    </row>
    <row r="29" spans="1:6" x14ac:dyDescent="0.2">
      <c r="A29" s="30">
        <v>0.5</v>
      </c>
      <c r="B29" s="33">
        <f t="shared" si="0"/>
        <v>3168236.6419753088</v>
      </c>
      <c r="C29" s="33">
        <f t="shared" si="0"/>
        <v>4224315.5226337444</v>
      </c>
      <c r="D29" s="33">
        <f t="shared" si="0"/>
        <v>5280394.403292181</v>
      </c>
      <c r="E29" s="33">
        <f t="shared" si="0"/>
        <v>6336473.2839506175</v>
      </c>
    </row>
    <row r="30" spans="1:6" x14ac:dyDescent="0.2">
      <c r="A30" s="30">
        <v>0.55000000000000004</v>
      </c>
      <c r="B30" s="33">
        <f t="shared" si="0"/>
        <v>2689152.4097239203</v>
      </c>
      <c r="C30" s="33">
        <f t="shared" si="0"/>
        <v>3585536.5462985602</v>
      </c>
      <c r="D30" s="33">
        <f t="shared" si="0"/>
        <v>4481920.6828732006</v>
      </c>
      <c r="E30" s="33">
        <f t="shared" si="0"/>
        <v>5378304.8194478406</v>
      </c>
    </row>
    <row r="31" spans="1:6" x14ac:dyDescent="0.2">
      <c r="A31" s="30">
        <v>0.6</v>
      </c>
      <c r="B31" s="33">
        <f t="shared" si="0"/>
        <v>2294425.6782531724</v>
      </c>
      <c r="C31" s="33">
        <f t="shared" si="0"/>
        <v>3059234.2376708966</v>
      </c>
      <c r="D31" s="33">
        <f t="shared" si="0"/>
        <v>3824042.7970886207</v>
      </c>
      <c r="E31" s="33">
        <f t="shared" si="0"/>
        <v>4588851.3565063449</v>
      </c>
    </row>
    <row r="34" spans="1:7" x14ac:dyDescent="0.2">
      <c r="A34" s="26" t="s">
        <v>214</v>
      </c>
      <c r="B34" s="26"/>
      <c r="C34" s="26"/>
    </row>
    <row r="35" spans="1:7" x14ac:dyDescent="0.2">
      <c r="A35" s="37" t="s">
        <v>215</v>
      </c>
      <c r="B35" s="39" t="s">
        <v>216</v>
      </c>
      <c r="C35" s="39" t="s">
        <v>217</v>
      </c>
    </row>
    <row r="36" spans="1:7" x14ac:dyDescent="0.2">
      <c r="A36" s="27" t="s">
        <v>218</v>
      </c>
      <c r="B36" s="33">
        <v>175000</v>
      </c>
      <c r="C36" s="33">
        <v>350000</v>
      </c>
      <c r="G36" s="29" t="s">
        <v>219</v>
      </c>
    </row>
    <row r="37" spans="1:7" x14ac:dyDescent="0.2">
      <c r="A37" s="27" t="s">
        <v>220</v>
      </c>
      <c r="B37" s="33">
        <v>1300000</v>
      </c>
      <c r="C37" s="33">
        <v>1700000</v>
      </c>
      <c r="G37" s="29" t="s">
        <v>221</v>
      </c>
    </row>
    <row r="38" spans="1:7" x14ac:dyDescent="0.2">
      <c r="A38" s="27" t="s">
        <v>222</v>
      </c>
      <c r="B38" s="33">
        <v>800000</v>
      </c>
      <c r="C38" s="33">
        <v>1500000</v>
      </c>
      <c r="G38" s="29" t="s">
        <v>223</v>
      </c>
    </row>
    <row r="39" spans="1:7" x14ac:dyDescent="0.2">
      <c r="A39" s="27" t="s">
        <v>224</v>
      </c>
      <c r="B39" s="33">
        <f>B23*0.8</f>
        <v>4253033.2417053496</v>
      </c>
      <c r="C39" s="33">
        <f>B23*1.2</f>
        <v>6379549.8625580249</v>
      </c>
      <c r="G39" s="29" t="s">
        <v>225</v>
      </c>
    </row>
    <row r="40" spans="1:7" x14ac:dyDescent="0.2">
      <c r="A40" s="37" t="s">
        <v>226</v>
      </c>
      <c r="B40" s="40">
        <v>1200000</v>
      </c>
      <c r="C40" s="40">
        <v>1800000</v>
      </c>
      <c r="G40" s="29" t="s">
        <v>227</v>
      </c>
    </row>
    <row r="42" spans="1:7" x14ac:dyDescent="0.2">
      <c r="A42" s="26" t="s">
        <v>228</v>
      </c>
      <c r="B42" s="26"/>
      <c r="C42" s="26"/>
    </row>
    <row r="43" spans="1:7" x14ac:dyDescent="0.2">
      <c r="A43" s="37" t="s">
        <v>229</v>
      </c>
      <c r="B43" s="39" t="s">
        <v>230</v>
      </c>
      <c r="C43" s="39" t="s">
        <v>231</v>
      </c>
    </row>
    <row r="44" spans="1:7" x14ac:dyDescent="0.2">
      <c r="A44" s="27" t="s">
        <v>232</v>
      </c>
      <c r="B44" s="33">
        <v>1200000</v>
      </c>
      <c r="C44" s="33">
        <v>1800000</v>
      </c>
    </row>
    <row r="45" spans="1:7" x14ac:dyDescent="0.2">
      <c r="A45" s="27" t="s">
        <v>233</v>
      </c>
      <c r="B45" s="33">
        <v>3000000</v>
      </c>
      <c r="C45" s="33">
        <v>5000000</v>
      </c>
    </row>
    <row r="46" spans="1:7" x14ac:dyDescent="0.2">
      <c r="A46" s="27" t="s">
        <v>234</v>
      </c>
      <c r="B46" s="33">
        <v>12000000</v>
      </c>
      <c r="C46" s="33">
        <v>20000000</v>
      </c>
    </row>
    <row r="47" spans="1:7" x14ac:dyDescent="0.2">
      <c r="A47" s="27" t="s">
        <v>235</v>
      </c>
      <c r="B47" s="33">
        <v>35000000</v>
      </c>
      <c r="C47" s="33">
        <v>52000000</v>
      </c>
    </row>
    <row r="49" spans="1:1" x14ac:dyDescent="0.2">
      <c r="A49" s="41" t="s">
        <v>236</v>
      </c>
    </row>
    <row r="50" spans="1:1" x14ac:dyDescent="0.2">
      <c r="A50" s="41" t="s">
        <v>237</v>
      </c>
    </row>
  </sheetData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baseColWidth="10" defaultColWidth="8.83203125" defaultRowHeight="15" x14ac:dyDescent="0.2"/>
  <cols>
    <col min="1" max="1" width="30" customWidth="1"/>
    <col min="2" max="4" width="18" customWidth="1"/>
    <col min="5" max="5" width="40" customWidth="1"/>
  </cols>
  <sheetData>
    <row r="1" spans="1:5" ht="17" x14ac:dyDescent="0.2">
      <c r="A1" s="24" t="s">
        <v>238</v>
      </c>
    </row>
    <row r="2" spans="1:5" x14ac:dyDescent="0.2">
      <c r="A2" s="29" t="s">
        <v>239</v>
      </c>
    </row>
    <row r="4" spans="1:5" x14ac:dyDescent="0.2">
      <c r="A4" s="34" t="s">
        <v>240</v>
      </c>
      <c r="B4" s="40">
        <v>1500000</v>
      </c>
      <c r="E4" s="29" t="s">
        <v>241</v>
      </c>
    </row>
    <row r="6" spans="1:5" x14ac:dyDescent="0.2">
      <c r="A6" s="42" t="s">
        <v>242</v>
      </c>
      <c r="B6" s="42"/>
      <c r="C6" s="42"/>
      <c r="D6" s="42"/>
    </row>
    <row r="7" spans="1:5" x14ac:dyDescent="0.2">
      <c r="A7" s="37" t="s">
        <v>243</v>
      </c>
      <c r="B7" s="39" t="s">
        <v>244</v>
      </c>
      <c r="C7" s="39" t="s">
        <v>245</v>
      </c>
      <c r="D7" s="39" t="s">
        <v>246</v>
      </c>
    </row>
    <row r="8" spans="1:5" x14ac:dyDescent="0.2">
      <c r="A8" s="30">
        <v>0.05</v>
      </c>
      <c r="B8" s="33">
        <f t="shared" ref="B8:B13" si="0">$B$4*A8/(1-A8)</f>
        <v>78947.368421052641</v>
      </c>
      <c r="C8" s="33">
        <f t="shared" ref="C8:C13" si="1">$B$4+B8</f>
        <v>1578947.3684210526</v>
      </c>
      <c r="D8" s="43">
        <f t="shared" ref="D8:D13" si="2">1-A8</f>
        <v>0.95</v>
      </c>
    </row>
    <row r="9" spans="1:5" x14ac:dyDescent="0.2">
      <c r="A9" s="30">
        <v>0.1</v>
      </c>
      <c r="B9" s="33">
        <f t="shared" si="0"/>
        <v>166666.66666666666</v>
      </c>
      <c r="C9" s="33">
        <f t="shared" si="1"/>
        <v>1666666.6666666667</v>
      </c>
      <c r="D9" s="43">
        <f t="shared" si="2"/>
        <v>0.9</v>
      </c>
    </row>
    <row r="10" spans="1:5" x14ac:dyDescent="0.2">
      <c r="A10" s="30">
        <v>0.15</v>
      </c>
      <c r="B10" s="33">
        <f t="shared" si="0"/>
        <v>264705.8823529412</v>
      </c>
      <c r="C10" s="33">
        <f t="shared" si="1"/>
        <v>1764705.8823529412</v>
      </c>
      <c r="D10" s="43">
        <f t="shared" si="2"/>
        <v>0.85</v>
      </c>
    </row>
    <row r="11" spans="1:5" x14ac:dyDescent="0.2">
      <c r="A11" s="30">
        <v>0.2</v>
      </c>
      <c r="B11" s="33">
        <f t="shared" si="0"/>
        <v>375000</v>
      </c>
      <c r="C11" s="33">
        <f t="shared" si="1"/>
        <v>1875000</v>
      </c>
      <c r="D11" s="43">
        <f t="shared" si="2"/>
        <v>0.8</v>
      </c>
    </row>
    <row r="12" spans="1:5" x14ac:dyDescent="0.2">
      <c r="A12" s="30">
        <v>0.25</v>
      </c>
      <c r="B12" s="33">
        <f t="shared" si="0"/>
        <v>500000</v>
      </c>
      <c r="C12" s="33">
        <f t="shared" si="1"/>
        <v>2000000</v>
      </c>
      <c r="D12" s="43">
        <f t="shared" si="2"/>
        <v>0.75</v>
      </c>
    </row>
    <row r="13" spans="1:5" x14ac:dyDescent="0.2">
      <c r="A13" s="30">
        <v>0.3</v>
      </c>
      <c r="B13" s="33">
        <f t="shared" si="0"/>
        <v>642857.14285714284</v>
      </c>
      <c r="C13" s="33">
        <f t="shared" si="1"/>
        <v>2142857.1428571427</v>
      </c>
      <c r="D13" s="43">
        <f t="shared" si="2"/>
        <v>0.7</v>
      </c>
    </row>
    <row r="15" spans="1:5" x14ac:dyDescent="0.2">
      <c r="A15" s="42" t="s">
        <v>247</v>
      </c>
      <c r="B15" s="42"/>
      <c r="C15" s="42"/>
      <c r="D15" s="42"/>
    </row>
    <row r="16" spans="1:5" x14ac:dyDescent="0.2">
      <c r="A16" s="37" t="s">
        <v>244</v>
      </c>
      <c r="B16" s="39" t="s">
        <v>248</v>
      </c>
      <c r="C16" s="39" t="s">
        <v>245</v>
      </c>
      <c r="D16" s="39" t="s">
        <v>246</v>
      </c>
    </row>
    <row r="17" spans="1:5" x14ac:dyDescent="0.2">
      <c r="A17" s="44">
        <v>100000</v>
      </c>
      <c r="B17" s="43">
        <f t="shared" ref="B17:B22" si="3">A17/($B$4+A17)</f>
        <v>6.25E-2</v>
      </c>
      <c r="C17" s="33">
        <f t="shared" ref="C17:C22" si="4">$B$4+A17</f>
        <v>1600000</v>
      </c>
      <c r="D17" s="43">
        <f t="shared" ref="D17:D22" si="5">$B$4/($B$4+A17)</f>
        <v>0.9375</v>
      </c>
    </row>
    <row r="18" spans="1:5" x14ac:dyDescent="0.2">
      <c r="A18" s="44">
        <v>250000</v>
      </c>
      <c r="B18" s="43">
        <f t="shared" si="3"/>
        <v>0.14285714285714285</v>
      </c>
      <c r="C18" s="33">
        <f t="shared" si="4"/>
        <v>1750000</v>
      </c>
      <c r="D18" s="43">
        <f t="shared" si="5"/>
        <v>0.8571428571428571</v>
      </c>
    </row>
    <row r="19" spans="1:5" x14ac:dyDescent="0.2">
      <c r="A19" s="44">
        <v>500000</v>
      </c>
      <c r="B19" s="43">
        <f t="shared" si="3"/>
        <v>0.25</v>
      </c>
      <c r="C19" s="33">
        <f t="shared" si="4"/>
        <v>2000000</v>
      </c>
      <c r="D19" s="43">
        <f t="shared" si="5"/>
        <v>0.75</v>
      </c>
    </row>
    <row r="20" spans="1:5" x14ac:dyDescent="0.2">
      <c r="A20" s="44">
        <v>750000</v>
      </c>
      <c r="B20" s="43">
        <f t="shared" si="3"/>
        <v>0.33333333333333331</v>
      </c>
      <c r="C20" s="33">
        <f t="shared" si="4"/>
        <v>2250000</v>
      </c>
      <c r="D20" s="43">
        <f t="shared" si="5"/>
        <v>0.66666666666666663</v>
      </c>
    </row>
    <row r="21" spans="1:5" x14ac:dyDescent="0.2">
      <c r="A21" s="44">
        <v>1000000</v>
      </c>
      <c r="B21" s="43">
        <f t="shared" si="3"/>
        <v>0.4</v>
      </c>
      <c r="C21" s="33">
        <f t="shared" si="4"/>
        <v>2500000</v>
      </c>
      <c r="D21" s="43">
        <f t="shared" si="5"/>
        <v>0.6</v>
      </c>
    </row>
    <row r="22" spans="1:5" x14ac:dyDescent="0.2">
      <c r="A22" s="44">
        <v>1500000</v>
      </c>
      <c r="B22" s="43">
        <f t="shared" si="3"/>
        <v>0.5</v>
      </c>
      <c r="C22" s="33">
        <f t="shared" si="4"/>
        <v>3000000</v>
      </c>
      <c r="D22" s="43">
        <f t="shared" si="5"/>
        <v>0.5</v>
      </c>
    </row>
    <row r="24" spans="1:5" x14ac:dyDescent="0.2">
      <c r="A24" s="42" t="s">
        <v>249</v>
      </c>
      <c r="B24" s="42"/>
      <c r="C24" s="42"/>
      <c r="D24" s="42"/>
    </row>
    <row r="25" spans="1:5" x14ac:dyDescent="0.2">
      <c r="A25" s="27" t="s">
        <v>250</v>
      </c>
      <c r="B25" s="32">
        <f>'3_Investment'!C20</f>
        <v>1500000</v>
      </c>
      <c r="E25" s="29" t="s">
        <v>251</v>
      </c>
    </row>
    <row r="26" spans="1:5" x14ac:dyDescent="0.2">
      <c r="A26" s="34" t="s">
        <v>252</v>
      </c>
      <c r="B26" s="45">
        <f>B25/($B$4+B25)</f>
        <v>0.5</v>
      </c>
    </row>
    <row r="27" spans="1:5" x14ac:dyDescent="0.2">
      <c r="A27" s="27" t="s">
        <v>253</v>
      </c>
      <c r="B27" s="33">
        <f>$B$4+B25</f>
        <v>3000000</v>
      </c>
    </row>
    <row r="29" spans="1:5" x14ac:dyDescent="0.2">
      <c r="A29" s="41" t="s">
        <v>254</v>
      </c>
    </row>
    <row r="30" spans="1:5" x14ac:dyDescent="0.2">
      <c r="A30" s="41" t="s">
        <v>255</v>
      </c>
    </row>
    <row r="31" spans="1:5" x14ac:dyDescent="0.2">
      <c r="A31" s="41" t="s">
        <v>256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1_Annahmen</vt:lpstr>
      <vt:lpstr>2_Pricing</vt:lpstr>
      <vt:lpstr>3_Investment</vt:lpstr>
      <vt:lpstr>4_Kosten</vt:lpstr>
      <vt:lpstr>5_Umsatz_Prognose (2)</vt:lpstr>
      <vt:lpstr>5_Umsatz_Prognose</vt:lpstr>
      <vt:lpstr>6_GuV_Breakeven</vt:lpstr>
      <vt:lpstr>7_Verlauf_Charts</vt:lpstr>
      <vt:lpstr>8_Bewertung</vt:lpstr>
      <vt:lpstr>9_Beteiligung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Ekkehart Padberg</cp:lastModifiedBy>
  <cp:lastPrinted>2026-06-24T13:56:48Z</cp:lastPrinted>
  <dcterms:created xsi:type="dcterms:W3CDTF">2026-04-07T09:28:11Z</dcterms:created>
  <dcterms:modified xsi:type="dcterms:W3CDTF">2026-06-24T16:53:10Z</dcterms:modified>
</cp:coreProperties>
</file>